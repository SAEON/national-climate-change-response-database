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ZachS\Desktop\"/>
    </mc:Choice>
  </mc:AlternateContent>
  <xr:revisionPtr revIDLastSave="0" documentId="13_ncr:1_{89F83070-551F-4EDB-BEC0-E78681694C80}" xr6:coauthVersionLast="47" xr6:coauthVersionMax="47" xr10:uidLastSave="{00000000-0000-0000-0000-000000000000}"/>
  <bookViews>
    <workbookView xWindow="-108" yWindow="-108" windowWidth="23256" windowHeight="13176" xr2:uid="{00000000-000D-0000-FFFF-FFFF00000000}"/>
  </bookViews>
  <sheets>
    <sheet name="Submissions" sheetId="8" r:id="rId1"/>
    <sheet name="Projects" sheetId="3" r:id="rId2"/>
    <sheet name="_Vocabularies" sheetId="5" r:id="rId3"/>
    <sheet name="_FieldDefinitions" sheetId="6" r:id="rId4"/>
    <sheet name="_FormLayout" sheetId="7" r:id="rId5"/>
    <sheet name="_VBA" sheetId="4" r:id="rId6"/>
    <sheet name="_Compile" sheetId="1" r:id="rId7"/>
  </sheets>
  <functionGroups builtInGroupCount="19"/>
  <definedNames>
    <definedName name="All_Project_Names">OFFSET(Projects!A2,0,0,_VBA!$B$3,1)</definedName>
    <definedName name="Data_Start">Table1[[#Headers],[Title]]</definedName>
    <definedName name="Dyn_ProjectNames">OFFSET(Table1[[#Headers],[Title]],0,0+_VBA!$B$3,1)</definedName>
    <definedName name="regions_1">#REF!</definedName>
    <definedName name="regions_2">#REF!</definedName>
    <definedName name="regions_3">#REF!</definedName>
  </definedNames>
  <calcPr calcId="18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111" i="1" l="1"/>
  <c r="G111" i="1"/>
  <c r="E111" i="1"/>
  <c r="H110" i="1"/>
  <c r="G110" i="1"/>
  <c r="E110" i="1"/>
  <c r="H109" i="1"/>
  <c r="G109" i="1"/>
  <c r="E109" i="1"/>
  <c r="H108" i="1"/>
  <c r="G108" i="1"/>
  <c r="E108" i="1"/>
  <c r="H107" i="1"/>
  <c r="G107" i="1"/>
  <c r="E107" i="1"/>
  <c r="H106" i="1"/>
  <c r="G106" i="1"/>
  <c r="E106" i="1"/>
  <c r="H105" i="1"/>
  <c r="G105" i="1"/>
  <c r="E105" i="1"/>
  <c r="H104" i="1"/>
  <c r="G104" i="1"/>
  <c r="E104" i="1"/>
  <c r="H103" i="1"/>
  <c r="G103" i="1"/>
  <c r="E103" i="1"/>
  <c r="H102" i="1"/>
  <c r="G102" i="1"/>
  <c r="E102" i="1"/>
  <c r="H101" i="1"/>
  <c r="G101" i="1"/>
  <c r="E101" i="1"/>
  <c r="H100" i="1"/>
  <c r="G100" i="1"/>
  <c r="E100" i="1"/>
  <c r="H99" i="1"/>
  <c r="G99" i="1"/>
  <c r="E99" i="1"/>
  <c r="H98" i="1"/>
  <c r="G98" i="1"/>
  <c r="E98" i="1"/>
  <c r="H97" i="1"/>
  <c r="G97" i="1"/>
  <c r="E97" i="1"/>
  <c r="H96" i="1"/>
  <c r="G96" i="1"/>
  <c r="E96" i="1"/>
  <c r="H95" i="1"/>
  <c r="G95" i="1"/>
  <c r="E95" i="1"/>
  <c r="H94" i="1"/>
  <c r="G94" i="1"/>
  <c r="E94" i="1"/>
  <c r="H93" i="1"/>
  <c r="G93" i="1"/>
  <c r="E93" i="1"/>
  <c r="H92" i="1"/>
  <c r="G92" i="1"/>
  <c r="E92" i="1"/>
  <c r="H91" i="1"/>
  <c r="G91" i="1"/>
  <c r="E91" i="1"/>
  <c r="H90" i="1"/>
  <c r="G90" i="1"/>
  <c r="E90" i="1"/>
  <c r="H89" i="1"/>
  <c r="G89" i="1"/>
  <c r="E89" i="1"/>
  <c r="H88" i="1"/>
  <c r="G88" i="1"/>
  <c r="E88" i="1"/>
  <c r="H87" i="1"/>
  <c r="G87" i="1"/>
  <c r="E87" i="1"/>
  <c r="H86" i="1"/>
  <c r="G86" i="1"/>
  <c r="E86" i="1"/>
  <c r="H85" i="1"/>
  <c r="G85" i="1"/>
  <c r="E85" i="1"/>
  <c r="H84" i="1"/>
  <c r="G84" i="1"/>
  <c r="E84" i="1"/>
  <c r="H83" i="1"/>
  <c r="G83" i="1"/>
  <c r="E83" i="1"/>
  <c r="H82" i="1"/>
  <c r="G82" i="1"/>
  <c r="E82" i="1"/>
  <c r="H81" i="1"/>
  <c r="G81" i="1"/>
  <c r="E81" i="1"/>
  <c r="H80" i="1"/>
  <c r="G80" i="1"/>
  <c r="E80" i="1"/>
  <c r="H79" i="1"/>
  <c r="G79" i="1"/>
  <c r="E79" i="1"/>
  <c r="H78" i="1"/>
  <c r="G78" i="1"/>
  <c r="E78" i="1"/>
  <c r="H77" i="1"/>
  <c r="G77" i="1"/>
  <c r="E77" i="1"/>
  <c r="H76" i="1"/>
  <c r="G76" i="1"/>
  <c r="E76" i="1"/>
  <c r="H75" i="1"/>
  <c r="G75" i="1"/>
  <c r="E75" i="1"/>
  <c r="H74" i="1"/>
  <c r="G74" i="1"/>
  <c r="E74" i="1"/>
  <c r="H73" i="1"/>
  <c r="G73" i="1"/>
  <c r="E73" i="1"/>
  <c r="H72" i="1"/>
  <c r="G72" i="1"/>
  <c r="E72" i="1"/>
  <c r="H71" i="1"/>
  <c r="G71" i="1"/>
  <c r="E71" i="1"/>
  <c r="H70" i="1"/>
  <c r="G70" i="1"/>
  <c r="E70" i="1"/>
  <c r="H69" i="1"/>
  <c r="G69" i="1"/>
  <c r="E69" i="1"/>
  <c r="H68" i="1"/>
  <c r="G68" i="1"/>
  <c r="E68" i="1"/>
  <c r="H67" i="1"/>
  <c r="G67" i="1"/>
  <c r="E67" i="1"/>
  <c r="H66" i="1"/>
  <c r="G66" i="1"/>
  <c r="E66" i="1"/>
  <c r="H65" i="1"/>
  <c r="G65" i="1"/>
  <c r="E65" i="1"/>
  <c r="H64" i="1"/>
  <c r="G64" i="1"/>
  <c r="E64" i="1"/>
  <c r="H63" i="1"/>
  <c r="G63" i="1"/>
  <c r="E63" i="1"/>
  <c r="H62" i="1"/>
  <c r="G62" i="1"/>
  <c r="E62" i="1"/>
  <c r="H61" i="1"/>
  <c r="G61" i="1"/>
  <c r="E61" i="1"/>
  <c r="H60" i="1"/>
  <c r="G60" i="1"/>
  <c r="E60" i="1"/>
  <c r="H59" i="1"/>
  <c r="G59" i="1"/>
  <c r="E59" i="1"/>
  <c r="H58" i="1"/>
  <c r="G58" i="1"/>
  <c r="E58" i="1"/>
  <c r="H57" i="1"/>
  <c r="G57" i="1"/>
  <c r="E57" i="1"/>
  <c r="H56" i="1"/>
  <c r="G56" i="1"/>
  <c r="E56" i="1"/>
  <c r="H55" i="1"/>
  <c r="G55" i="1"/>
  <c r="E55" i="1"/>
  <c r="H54" i="1"/>
  <c r="G54" i="1"/>
  <c r="E54" i="1"/>
  <c r="H53" i="1"/>
  <c r="G53" i="1"/>
  <c r="E53" i="1"/>
  <c r="H52" i="1"/>
  <c r="G52" i="1"/>
  <c r="E52" i="1"/>
  <c r="H51" i="1"/>
  <c r="G51" i="1"/>
  <c r="E51" i="1"/>
  <c r="H50" i="1"/>
  <c r="G50" i="1"/>
  <c r="E50" i="1"/>
  <c r="H49" i="1"/>
  <c r="G49" i="1"/>
  <c r="E49" i="1"/>
  <c r="H48" i="1"/>
  <c r="G48" i="1"/>
  <c r="E48" i="1"/>
  <c r="H47" i="1"/>
  <c r="G47" i="1"/>
  <c r="E47" i="1"/>
  <c r="H46" i="1"/>
  <c r="G46" i="1"/>
  <c r="E46" i="1"/>
  <c r="H45" i="1"/>
  <c r="G45" i="1"/>
  <c r="E45" i="1"/>
  <c r="H44" i="1"/>
  <c r="G44" i="1"/>
  <c r="E44" i="1"/>
  <c r="H43" i="1"/>
  <c r="G43" i="1"/>
  <c r="E43" i="1"/>
  <c r="H42" i="1"/>
  <c r="G42" i="1"/>
  <c r="E42" i="1"/>
  <c r="H41" i="1"/>
  <c r="G41" i="1"/>
  <c r="E41" i="1"/>
  <c r="H40" i="1"/>
  <c r="G40" i="1"/>
  <c r="E40" i="1"/>
  <c r="H39" i="1"/>
  <c r="G39" i="1"/>
  <c r="E39" i="1"/>
  <c r="H38" i="1"/>
  <c r="G38" i="1"/>
  <c r="E38" i="1"/>
  <c r="H37" i="1"/>
  <c r="G37" i="1"/>
  <c r="E37" i="1"/>
  <c r="H36" i="1"/>
  <c r="G36" i="1"/>
  <c r="E36" i="1"/>
  <c r="H35" i="1"/>
  <c r="G35" i="1"/>
  <c r="E35" i="1"/>
  <c r="H34" i="1"/>
  <c r="G34" i="1"/>
  <c r="E34" i="1"/>
  <c r="H33" i="1"/>
  <c r="G33" i="1"/>
  <c r="E33" i="1"/>
  <c r="H32" i="1"/>
  <c r="G32" i="1"/>
  <c r="E32" i="1"/>
  <c r="H31" i="1"/>
  <c r="G31" i="1"/>
  <c r="E31" i="1"/>
  <c r="H30" i="1"/>
  <c r="G30" i="1"/>
  <c r="E30" i="1"/>
  <c r="H29" i="1"/>
  <c r="G29" i="1"/>
  <c r="E29" i="1"/>
  <c r="H28" i="1"/>
  <c r="G28" i="1"/>
  <c r="E28" i="1"/>
  <c r="H27" i="1"/>
  <c r="G27" i="1"/>
  <c r="E27" i="1"/>
  <c r="H26" i="1"/>
  <c r="G26" i="1"/>
  <c r="E26" i="1"/>
  <c r="H25" i="1"/>
  <c r="G25" i="1"/>
  <c r="E25" i="1"/>
  <c r="H24" i="1"/>
  <c r="G24" i="1"/>
  <c r="E24" i="1"/>
  <c r="H23" i="1"/>
  <c r="G23" i="1"/>
  <c r="E23" i="1"/>
  <c r="H22" i="1"/>
  <c r="G22" i="1"/>
  <c r="E22" i="1"/>
  <c r="H21" i="1"/>
  <c r="G21" i="1"/>
  <c r="E21" i="1"/>
  <c r="H20" i="1"/>
  <c r="G20" i="1"/>
  <c r="E20" i="1"/>
  <c r="H19" i="1"/>
  <c r="G19" i="1"/>
  <c r="E19" i="1"/>
  <c r="H18" i="1"/>
  <c r="G18" i="1"/>
  <c r="E18" i="1"/>
  <c r="H17" i="1"/>
  <c r="G17" i="1"/>
  <c r="E17" i="1"/>
  <c r="H16" i="1"/>
  <c r="G16" i="1"/>
  <c r="E16" i="1"/>
  <c r="H15" i="1"/>
  <c r="G15" i="1"/>
  <c r="E15" i="1"/>
  <c r="H14" i="1"/>
  <c r="G14" i="1"/>
  <c r="E14" i="1"/>
  <c r="H13" i="1"/>
  <c r="G13" i="1"/>
  <c r="E13" i="1"/>
  <c r="H12" i="1"/>
  <c r="G12" i="1"/>
  <c r="E12" i="1"/>
  <c r="H11" i="1"/>
  <c r="G11" i="1"/>
  <c r="E11" i="1"/>
  <c r="H10" i="1"/>
  <c r="G10" i="1"/>
  <c r="E10" i="1"/>
  <c r="H9" i="1"/>
  <c r="G9" i="1"/>
  <c r="E9" i="1"/>
  <c r="H8" i="1"/>
  <c r="G8" i="1"/>
  <c r="E8" i="1"/>
  <c r="H7" i="1"/>
  <c r="G7" i="1"/>
  <c r="E7" i="1"/>
  <c r="H6" i="1"/>
  <c r="G6" i="1"/>
  <c r="E6" i="1"/>
  <c r="H5" i="1"/>
  <c r="G5" i="1"/>
  <c r="E5" i="1"/>
  <c r="H4" i="1"/>
  <c r="G4" i="1"/>
  <c r="E4" i="1"/>
  <c r="H3" i="1"/>
  <c r="G3" i="1"/>
  <c r="E3" i="1"/>
  <c r="D10" i="4"/>
  <c r="B3" i="4"/>
  <c r="I108" i="1" a="1"/>
  <c r="I100" i="1" a="1"/>
  <c r="I92" i="1" a="1"/>
  <c r="I84" i="1" a="1"/>
  <c r="I76" i="1" a="1"/>
  <c r="I68" i="1" a="1"/>
  <c r="I60" i="1" a="1"/>
  <c r="I52" i="1" a="1"/>
  <c r="I44" i="1" a="1"/>
  <c r="I36" i="1" a="1"/>
  <c r="I28" i="1" a="1"/>
  <c r="I20" i="1" a="1"/>
  <c r="I12" i="1" a="1"/>
  <c r="I4" i="1" a="1"/>
  <c r="I39" i="1" a="1"/>
  <c r="I31" i="1" a="1"/>
  <c r="I111" i="1" a="1"/>
  <c r="I103" i="1" a="1"/>
  <c r="I95" i="1" a="1"/>
  <c r="I87" i="1" a="1"/>
  <c r="I79" i="1" a="1"/>
  <c r="I71" i="1" a="1"/>
  <c r="I7" i="1" a="1"/>
  <c r="I106" i="1" a="1"/>
  <c r="I98" i="1" a="1"/>
  <c r="I90" i="1" a="1"/>
  <c r="I82" i="1" a="1"/>
  <c r="I74" i="1" a="1"/>
  <c r="I66" i="1" a="1"/>
  <c r="I58" i="1" a="1"/>
  <c r="I50" i="1" a="1"/>
  <c r="I42" i="1" a="1"/>
  <c r="I34" i="1" a="1"/>
  <c r="I26" i="1" a="1"/>
  <c r="I18" i="1" a="1"/>
  <c r="I10" i="1" a="1"/>
  <c r="I72" i="1" a="1"/>
  <c r="I24" i="1" a="1"/>
  <c r="I16" i="1" a="1"/>
  <c r="I8" i="1" a="1"/>
  <c r="I33" i="1" a="1"/>
  <c r="I15" i="1" a="1"/>
  <c r="I109" i="1" a="1"/>
  <c r="I101" i="1" a="1"/>
  <c r="I93" i="1" a="1"/>
  <c r="I85" i="1" a="1"/>
  <c r="I77" i="1" a="1"/>
  <c r="I69" i="1" a="1"/>
  <c r="I61" i="1" a="1"/>
  <c r="I53" i="1" a="1"/>
  <c r="I45" i="1" a="1"/>
  <c r="I37" i="1" a="1"/>
  <c r="I29" i="1" a="1"/>
  <c r="I21" i="1" a="1"/>
  <c r="I13" i="1" a="1"/>
  <c r="I5" i="1" a="1"/>
  <c r="I40" i="1" a="1"/>
  <c r="I32" i="1" a="1"/>
  <c r="I9" i="1" a="1"/>
  <c r="I104" i="1" a="1"/>
  <c r="I96" i="1" a="1"/>
  <c r="I88" i="1" a="1"/>
  <c r="I80" i="1" a="1"/>
  <c r="I64" i="1" a="1"/>
  <c r="I56" i="1" a="1"/>
  <c r="I48" i="1" a="1"/>
  <c r="I41" i="1" a="1"/>
  <c r="I25" i="1" a="1"/>
  <c r="I55" i="1" a="1"/>
  <c r="I23" i="1" a="1"/>
  <c r="I107" i="1" a="1"/>
  <c r="I99" i="1" a="1"/>
  <c r="I91" i="1" a="1"/>
  <c r="I83" i="1" a="1"/>
  <c r="I75" i="1" a="1"/>
  <c r="I67" i="1" a="1"/>
  <c r="I59" i="1" a="1"/>
  <c r="I51" i="1" a="1"/>
  <c r="I43" i="1" a="1"/>
  <c r="I35" i="1" a="1"/>
  <c r="I27" i="1" a="1"/>
  <c r="I19" i="1" a="1"/>
  <c r="I11" i="1" a="1"/>
  <c r="I3" i="1" a="1"/>
  <c r="I81" i="1" a="1"/>
  <c r="I57" i="1" a="1"/>
  <c r="I49" i="1" a="1"/>
  <c r="I47" i="1" a="1"/>
  <c r="I110" i="1" a="1"/>
  <c r="I102" i="1" a="1"/>
  <c r="I94" i="1" a="1"/>
  <c r="I86" i="1" a="1"/>
  <c r="I78" i="1" a="1"/>
  <c r="I70" i="1" a="1"/>
  <c r="I62" i="1" a="1"/>
  <c r="I54" i="1" a="1"/>
  <c r="I46" i="1" a="1"/>
  <c r="I38" i="1" a="1"/>
  <c r="I30" i="1" a="1"/>
  <c r="I22" i="1" a="1"/>
  <c r="I14" i="1" a="1"/>
  <c r="I6" i="1" a="1"/>
  <c r="I105" i="1" a="1"/>
  <c r="I97" i="1" a="1"/>
  <c r="I89" i="1" a="1"/>
  <c r="I73" i="1" a="1"/>
  <c r="I65" i="1" a="1"/>
  <c r="I17" i="1" a="1"/>
  <c r="I63" i="1" a="1"/>
  <c r="I63" i="1" l="1"/>
  <c r="I17" i="1"/>
  <c r="I65" i="1"/>
  <c r="I73" i="1"/>
  <c r="I89" i="1"/>
  <c r="I97" i="1"/>
  <c r="I105" i="1"/>
  <c r="I6" i="1"/>
  <c r="I14" i="1"/>
  <c r="I22" i="1"/>
  <c r="I30" i="1"/>
  <c r="I38" i="1"/>
  <c r="I46" i="1"/>
  <c r="I54" i="1"/>
  <c r="I62" i="1"/>
  <c r="I70" i="1"/>
  <c r="I78" i="1"/>
  <c r="I86" i="1"/>
  <c r="I94" i="1"/>
  <c r="I102" i="1"/>
  <c r="I110" i="1"/>
  <c r="I47" i="1"/>
  <c r="I49" i="1"/>
  <c r="I57" i="1"/>
  <c r="I81" i="1"/>
  <c r="I3" i="1"/>
  <c r="I11" i="1"/>
  <c r="I19" i="1"/>
  <c r="I27" i="1"/>
  <c r="I35" i="1"/>
  <c r="I43" i="1"/>
  <c r="I51" i="1"/>
  <c r="I59" i="1"/>
  <c r="I67" i="1"/>
  <c r="I75" i="1"/>
  <c r="I83" i="1"/>
  <c r="I91" i="1"/>
  <c r="I99" i="1"/>
  <c r="I107" i="1"/>
  <c r="I23" i="1"/>
  <c r="I55" i="1"/>
  <c r="I25" i="1"/>
  <c r="I41" i="1"/>
  <c r="I48" i="1"/>
  <c r="I56" i="1"/>
  <c r="I64" i="1"/>
  <c r="I80" i="1"/>
  <c r="I88" i="1"/>
  <c r="I96" i="1"/>
  <c r="I104" i="1"/>
  <c r="I9" i="1"/>
  <c r="I32" i="1"/>
  <c r="I40" i="1"/>
  <c r="I5" i="1"/>
  <c r="I13" i="1"/>
  <c r="I21" i="1"/>
  <c r="I29" i="1"/>
  <c r="I37" i="1"/>
  <c r="I45" i="1"/>
  <c r="I53" i="1"/>
  <c r="I61" i="1"/>
  <c r="I69" i="1"/>
  <c r="I77" i="1"/>
  <c r="I85" i="1"/>
  <c r="I93" i="1"/>
  <c r="I101" i="1"/>
  <c r="I109" i="1"/>
  <c r="I15" i="1"/>
  <c r="I33" i="1"/>
  <c r="I8" i="1"/>
  <c r="I16" i="1"/>
  <c r="I24" i="1"/>
  <c r="I72" i="1"/>
  <c r="I10" i="1"/>
  <c r="I18" i="1"/>
  <c r="I26" i="1"/>
  <c r="I34" i="1"/>
  <c r="I42" i="1"/>
  <c r="I50" i="1"/>
  <c r="I58" i="1"/>
  <c r="I66" i="1"/>
  <c r="I74" i="1"/>
  <c r="I82" i="1"/>
  <c r="I90" i="1"/>
  <c r="I98" i="1"/>
  <c r="I106" i="1"/>
  <c r="I7" i="1"/>
  <c r="I71" i="1"/>
  <c r="I79" i="1"/>
  <c r="I87" i="1"/>
  <c r="I95" i="1"/>
  <c r="I103" i="1"/>
  <c r="I111" i="1"/>
  <c r="I31" i="1"/>
  <c r="I39" i="1"/>
  <c r="I4" i="1"/>
  <c r="I12" i="1"/>
  <c r="I20" i="1"/>
  <c r="I28" i="1"/>
  <c r="I36" i="1"/>
  <c r="I44" i="1"/>
  <c r="I52" i="1"/>
  <c r="I60" i="1"/>
  <c r="I68" i="1"/>
  <c r="I76" i="1"/>
  <c r="I84" i="1"/>
  <c r="I92" i="1"/>
  <c r="I100" i="1"/>
  <c r="I108" i="1"/>
</calcChain>
</file>

<file path=xl/sharedStrings.xml><?xml version="1.0" encoding="utf-8"?>
<sst xmlns="http://schemas.openxmlformats.org/spreadsheetml/2006/main" count="826" uniqueCount="400">
  <si>
    <t>National policy</t>
  </si>
  <si>
    <t>Other regional policy</t>
  </si>
  <si>
    <t>Other national policy</t>
  </si>
  <si>
    <t>Mitigation type</t>
  </si>
  <si>
    <t>PROJECT OVERVIEW</t>
  </si>
  <si>
    <t>PROJECT FUNDING</t>
  </si>
  <si>
    <t>GEOGRAPHIC LOCATION(S)</t>
  </si>
  <si>
    <t>PROJECT MANAGER</t>
  </si>
  <si>
    <t>HOST SECTOR</t>
  </si>
  <si>
    <t>PROJECT TYPE</t>
  </si>
  <si>
    <t>POLICY INFORMATION</t>
  </si>
  <si>
    <t>CO-BENEFIT INFORMATION</t>
  </si>
  <si>
    <t>CARBON CREDIT INFORMATION</t>
  </si>
  <si>
    <t>ADAPTATION DETAILS</t>
  </si>
  <si>
    <t>CLIMATE IMPACT</t>
  </si>
  <si>
    <t>Title</t>
  </si>
  <si>
    <t>Measure type</t>
  </si>
  <si>
    <t>Description</t>
  </si>
  <si>
    <t>Implementation status</t>
  </si>
  <si>
    <t>Implementing organization</t>
  </si>
  <si>
    <t>Start year</t>
  </si>
  <si>
    <t>End year</t>
  </si>
  <si>
    <t>Website</t>
  </si>
  <si>
    <t>Funding organization</t>
  </si>
  <si>
    <t>Type of funding</t>
  </si>
  <si>
    <t>Actual budget</t>
  </si>
  <si>
    <t>Estimated budget</t>
  </si>
  <si>
    <t>Province</t>
  </si>
  <si>
    <t>District</t>
  </si>
  <si>
    <t>Local municipality</t>
  </si>
  <si>
    <t>Town</t>
  </si>
  <si>
    <t>GPS</t>
  </si>
  <si>
    <t>Name</t>
  </si>
  <si>
    <t>Organisation</t>
  </si>
  <si>
    <t>Position</t>
  </si>
  <si>
    <t>Email adress</t>
  </si>
  <si>
    <t>Telephone number</t>
  </si>
  <si>
    <t>Mobile number</t>
  </si>
  <si>
    <t>Host sector</t>
  </si>
  <si>
    <t>Host main sector</t>
  </si>
  <si>
    <t>Host subsector</t>
  </si>
  <si>
    <t>Mitigation subtype</t>
  </si>
  <si>
    <t>Provincial or Municipal policy</t>
  </si>
  <si>
    <t>Year_1</t>
  </si>
  <si>
    <t>Year_2</t>
  </si>
  <si>
    <t>Year_3</t>
  </si>
  <si>
    <t>Year_4</t>
  </si>
  <si>
    <t>Year_5</t>
  </si>
  <si>
    <t>Year_6</t>
  </si>
  <si>
    <t>Year_7</t>
  </si>
  <si>
    <t>Year_8</t>
  </si>
  <si>
    <t>Year_9</t>
  </si>
  <si>
    <t>Year_10</t>
  </si>
  <si>
    <t>Amount_1</t>
  </si>
  <si>
    <t>Amount_2</t>
  </si>
  <si>
    <t>Amount_3</t>
  </si>
  <si>
    <t>Amount_4</t>
  </si>
  <si>
    <t>Amount_5</t>
  </si>
  <si>
    <t>Amount_6</t>
  </si>
  <si>
    <t>Amount_7</t>
  </si>
  <si>
    <t>Amount_8</t>
  </si>
  <si>
    <t>Amount_9</t>
  </si>
  <si>
    <t>Amount_10</t>
  </si>
  <si>
    <t>Unit_1</t>
  </si>
  <si>
    <t>Unit_2</t>
  </si>
  <si>
    <t>Unit_3</t>
  </si>
  <si>
    <t>Unit_4</t>
  </si>
  <si>
    <t>Unit_5</t>
  </si>
  <si>
    <t>Unit_6</t>
  </si>
  <si>
    <t>Unit_7</t>
  </si>
  <si>
    <t>Unit_8</t>
  </si>
  <si>
    <t>Unit_9</t>
  </si>
  <si>
    <t>Unit_10</t>
  </si>
  <si>
    <t>Year</t>
  </si>
  <si>
    <t>Environmental co-benefit</t>
  </si>
  <si>
    <t>Environmental co-benefit description</t>
  </si>
  <si>
    <t>Social co-benefit</t>
  </si>
  <si>
    <t>Social co-benefit description</t>
  </si>
  <si>
    <t>Economic co-benefit</t>
  </si>
  <si>
    <t>Select co-benefit</t>
  </si>
  <si>
    <t>Carbon credit</t>
  </si>
  <si>
    <t>CDM or Voluntary</t>
  </si>
  <si>
    <t>CDM Executive Board Status</t>
  </si>
  <si>
    <t>CDM methodology</t>
  </si>
  <si>
    <t>Organization Issuing Credits</t>
  </si>
  <si>
    <t>Voluntary methodology</t>
  </si>
  <si>
    <t>Adaptation sector</t>
  </si>
  <si>
    <t>Hazard</t>
  </si>
  <si>
    <t>Observed climate change impacts</t>
  </si>
  <si>
    <t>Addressed climate change impact</t>
  </si>
  <si>
    <t>Impact of response</t>
  </si>
  <si>
    <t>Year2</t>
  </si>
  <si>
    <t>Year3</t>
  </si>
  <si>
    <t>Year4</t>
  </si>
  <si>
    <t>Year5</t>
  </si>
  <si>
    <t>Year6</t>
  </si>
  <si>
    <t>Year7</t>
  </si>
  <si>
    <t>Year8</t>
  </si>
  <si>
    <t>Year9</t>
  </si>
  <si>
    <t>Year10</t>
  </si>
  <si>
    <t>PROGRESS CALCULATOR</t>
  </si>
  <si>
    <t>PROJECT EXPENDITURE</t>
  </si>
  <si>
    <t>NCCRD Input Form</t>
  </si>
  <si>
    <t>Mitigation program</t>
  </si>
  <si>
    <t>GENERAL</t>
  </si>
  <si>
    <t>MITIGATION</t>
  </si>
  <si>
    <t>ADAPTATION</t>
  </si>
  <si>
    <t>Indicate the corresponding intervention, goal, or target</t>
  </si>
  <si>
    <t>National policy description</t>
  </si>
  <si>
    <t>Regional policy</t>
  </si>
  <si>
    <t>Regional policy description</t>
  </si>
  <si>
    <t>Intended outcome</t>
  </si>
  <si>
    <t>Expenditure in (ZAR)</t>
  </si>
  <si>
    <t>Other sector</t>
  </si>
  <si>
    <t>Other corresponding</t>
  </si>
  <si>
    <t>Other hazard</t>
  </si>
  <si>
    <t>Expenditure in (ZAR)11</t>
  </si>
  <si>
    <t>Expenditure in (ZAR)12</t>
  </si>
  <si>
    <t>Expenditure in (ZAR)13</t>
  </si>
  <si>
    <t>Expenditure in (ZAR)14</t>
  </si>
  <si>
    <t>Expenditure in (ZAR)15</t>
  </si>
  <si>
    <t>Expenditure in (ZAR)16</t>
  </si>
  <si>
    <t>Expenditure in (ZAR)17</t>
  </si>
  <si>
    <t>Expenditure in (ZAR)18</t>
  </si>
  <si>
    <t>Expenditure in (ZAR)19</t>
  </si>
  <si>
    <t>National policy20</t>
  </si>
  <si>
    <t>Total entries in form</t>
  </si>
  <si>
    <t>Mode</t>
  </si>
  <si>
    <t>Row store</t>
  </si>
  <si>
    <t>mitigationProgramme</t>
  </si>
  <si>
    <t>Column1</t>
  </si>
  <si>
    <t>Sql Server</t>
  </si>
  <si>
    <t>Excel</t>
  </si>
  <si>
    <t>Form</t>
  </si>
  <si>
    <t>Field</t>
  </si>
  <si>
    <t>project</t>
  </si>
  <si>
    <t>title</t>
  </si>
  <si>
    <t>description</t>
  </si>
  <si>
    <t>startYear</t>
  </si>
  <si>
    <t>endYear</t>
  </si>
  <si>
    <t>link</t>
  </si>
  <si>
    <t>implementingOrganization</t>
  </si>
  <si>
    <t>fundingOrganisation</t>
  </si>
  <si>
    <t>actualBudget</t>
  </si>
  <si>
    <t>yx</t>
  </si>
  <si>
    <t>projectManagerName</t>
  </si>
  <si>
    <t>projectManagerOrganization</t>
  </si>
  <si>
    <t>projectManagerPosition</t>
  </si>
  <si>
    <t>projectManagerEmail</t>
  </si>
  <si>
    <t>projectManagerTelephone</t>
  </si>
  <si>
    <t>projectManagerMobile</t>
  </si>
  <si>
    <t>cityOrTown</t>
  </si>
  <si>
    <t>estimatedBudget</t>
  </si>
  <si>
    <t>interventionType</t>
  </si>
  <si>
    <t>implementationStatus</t>
  </si>
  <si>
    <t>fundingType</t>
  </si>
  <si>
    <t>province</t>
  </si>
  <si>
    <t>districtMunicipality</t>
  </si>
  <si>
    <t>localMunicipality</t>
  </si>
  <si>
    <t>Sheet</t>
  </si>
  <si>
    <t>Projects</t>
  </si>
  <si>
    <t>Field name col #</t>
  </si>
  <si>
    <t>Field name row #</t>
  </si>
  <si>
    <t>Excel address</t>
  </si>
  <si>
    <t>Field name cell</t>
  </si>
  <si>
    <t>Field name</t>
  </si>
  <si>
    <t>Header Row #</t>
  </si>
  <si>
    <t>hostSector</t>
  </si>
  <si>
    <t>hostSubSectorPrimary</t>
  </si>
  <si>
    <t>hostSubSectorSecondary</t>
  </si>
  <si>
    <t>mitigationType</t>
  </si>
  <si>
    <t>mitigationSubType</t>
  </si>
  <si>
    <t>nationalPolicy</t>
  </si>
  <si>
    <t>otherNationalPolicy</t>
  </si>
  <si>
    <t>regionalPolicy</t>
  </si>
  <si>
    <t>otherRegionalPolicy</t>
  </si>
  <si>
    <t>primaryIntendedOutcome</t>
  </si>
  <si>
    <t>coBenefitEnvironmental</t>
  </si>
  <si>
    <t>coBenefitEnvironmentalDescription</t>
  </si>
  <si>
    <t>coBenefitSocial</t>
  </si>
  <si>
    <t>coBenefitSocialDescription</t>
  </si>
  <si>
    <t>coBenefitEconomic</t>
  </si>
  <si>
    <t>coBenefitEconomicDescription</t>
  </si>
  <si>
    <t>carbonCredit</t>
  </si>
  <si>
    <t>carbonCreditStandard</t>
  </si>
  <si>
    <t>carbonCreditCdmExecutiveStatus</t>
  </si>
  <si>
    <t>carbonCreditCdmMethodology</t>
  </si>
  <si>
    <t>carbonCreditVoluntaryOrganization</t>
  </si>
  <si>
    <t>carbonCreditVoluntaryMethodology</t>
  </si>
  <si>
    <t>adaptationSector</t>
  </si>
  <si>
    <t>otherAdaptationSector</t>
  </si>
  <si>
    <t>target</t>
  </si>
  <si>
    <t>hazard</t>
  </si>
  <si>
    <t>otherHazard</t>
  </si>
  <si>
    <t>observedClimateChangeImpacts</t>
  </si>
  <si>
    <t>addressedClimateChangeImpact</t>
  </si>
  <si>
    <t>responseImpact</t>
  </si>
  <si>
    <t>_progress_calc_year_1</t>
  </si>
  <si>
    <t>_progress_calc_year_2</t>
  </si>
  <si>
    <t>_progress_calc_year_3</t>
  </si>
  <si>
    <t>_progress_calc_year_4</t>
  </si>
  <si>
    <t>_progress_calc_year_5</t>
  </si>
  <si>
    <t>_progress_calc_year_6</t>
  </si>
  <si>
    <t>_progress_calc_year_7</t>
  </si>
  <si>
    <t>_progress_calc_year_8</t>
  </si>
  <si>
    <t>_progress_calc_year_9</t>
  </si>
  <si>
    <t>_progress_calc_year_10</t>
  </si>
  <si>
    <t>_progress_calc_amount_1</t>
  </si>
  <si>
    <t>_progress_calc_amount_2</t>
  </si>
  <si>
    <t>_progress_calc_amount_3</t>
  </si>
  <si>
    <t>_progress_calc_amount_4</t>
  </si>
  <si>
    <t>_progress_calc_amount_5</t>
  </si>
  <si>
    <t>_progress_calc_amount_6</t>
  </si>
  <si>
    <t>_progress_calc_amount_7</t>
  </si>
  <si>
    <t>_progress_calc_amount_8</t>
  </si>
  <si>
    <t>_progress_calc_amount_9</t>
  </si>
  <si>
    <t>_progress_calc_amount_10</t>
  </si>
  <si>
    <t>_progress_calc_unit_1</t>
  </si>
  <si>
    <t>_progress_calc_unit_2</t>
  </si>
  <si>
    <t>_progress_calc_unit_3</t>
  </si>
  <si>
    <t>_progress_calc_unit_4</t>
  </si>
  <si>
    <t>_progress_calc_unit_5</t>
  </si>
  <si>
    <t>_progress_calc_unit_6</t>
  </si>
  <si>
    <t>_progress_calc_unit_7</t>
  </si>
  <si>
    <t>_progress_calc_unit_8</t>
  </si>
  <si>
    <t>_progress_calc_unit_9</t>
  </si>
  <si>
    <t>_progress_calc_unit_10</t>
  </si>
  <si>
    <t>_expenditure_calc_year_1</t>
  </si>
  <si>
    <t>_expenditure_calc_year_2</t>
  </si>
  <si>
    <t>_expenditure_calc_year_3</t>
  </si>
  <si>
    <t>_expenditure_calc_year_4</t>
  </si>
  <si>
    <t>_expenditure_calc_year_5</t>
  </si>
  <si>
    <t>_expenditure_calc_year_6</t>
  </si>
  <si>
    <t>_expenditure_calc_year_7</t>
  </si>
  <si>
    <t>_expenditure_calc_year_8</t>
  </si>
  <si>
    <t>_expenditure_calc_year_9</t>
  </si>
  <si>
    <t>_expenditure_calc_year_10</t>
  </si>
  <si>
    <t>_expenditure_calc_zar_1</t>
  </si>
  <si>
    <t>_expenditure_calc_zar_2</t>
  </si>
  <si>
    <t>_expenditure_calc_zar_3</t>
  </si>
  <si>
    <t>_expenditure_calc_zar_4</t>
  </si>
  <si>
    <t>_expenditure_calc_zar_5</t>
  </si>
  <si>
    <t>_expenditure_calc_zar_6</t>
  </si>
  <si>
    <t>_expenditure_calc_zar_7</t>
  </si>
  <si>
    <t>_expenditure_calc_zar_8</t>
  </si>
  <si>
    <t>_expenditure_calc_zar_9</t>
  </si>
  <si>
    <t>_expenditure_calc_zar_10</t>
  </si>
  <si>
    <t>mitigation</t>
  </si>
  <si>
    <t>adaptation</t>
  </si>
  <si>
    <t>NEW</t>
  </si>
  <si>
    <t>otherTarget</t>
  </si>
  <si>
    <t>Version</t>
  </si>
  <si>
    <t>CCRD PROJECT SUBMISSIONS</t>
  </si>
  <si>
    <t>Project</t>
  </si>
  <si>
    <t>Mitigation</t>
  </si>
  <si>
    <t>Adaptation</t>
  </si>
  <si>
    <t>[{"Project overview":["title","interventionType","description","implementationStatus","implementingOrganization","otherImplementingPartners","startYear","endYear","link"]},{"Project funding":["fundingOrganisation","fundingType","fundingTypeOther","actualBudget","estimatedBudget"]},{"Geographic location(s)":["province","districtMunicipality","localMunicipality","cityOrTown","xy"]},{"Project manager":["projectManagerName","projectManagerOrganization","projectManagerPosition","projectManagerEmail","projectManagerTelephone","projectManagerMobile"]},{"Submission status":["__submissionStatus","__submissionComments"]}]</t>
  </si>
  <si>
    <t>[{"Host sector":["hostSector","hostSubSectorPrimary","hostSubSectorSecondary"]},{"Project type":["mitigationType","mitigationSubType"]},{"Policy information":["mitigationProgramme","nationalPolicy","otherNationalPolicy","regionalPolicy","otherRegionalPolicy","primaryIntendedOutcome"]},{"Progress reports":["fileUploads"]},{"Progress calculator":["progressData"]},{"Co-benefit information":["coBenefitEnvironmental","coBenefitEnvironmentalDescription","coBenefitSocial","coBenefitSocialDescription","coBenefitEconomic","coBenefitEconomicDescription"]},{"Carbon credit information":["carbonCredit","carbonCreditStandard","carbonCreditCdmExecutiveStatus","carbonCreditCdmMethodology","carbonCreditVoluntaryOrganization","carbonCreditVoluntaryMethodology","carbonCreditCdmProjectNumber"]}]</t>
  </si>
  <si>
    <t>[{"Adaptation details":["adaptationSector","otherAdaptationSector","nationalPolicy","otherNationalPolicy","target","otherTarget","regionalPolicy","otherRegionalPolicy","hazard","otherHazard"]},{"Progress calculator":["progressData"]},{"Climate impact":["observedClimateChangeImpacts","addressedClimateChangeImpact","responseImpact"]},{"Progress reports":["fileUploads"]}]</t>
  </si>
  <si>
    <t>Label</t>
  </si>
  <si>
    <t>Type</t>
  </si>
  <si>
    <t>Vocabulary Tree</t>
  </si>
  <si>
    <t xml:space="preserve">Title </t>
  </si>
  <si>
    <t/>
  </si>
  <si>
    <t>SCALAR</t>
  </si>
  <si>
    <t xml:space="preserve">Select host sector </t>
  </si>
  <si>
    <t xml:space="preserve"> Select the sector in which the project is taking place </t>
  </si>
  <si>
    <t>INPUT_OBJECT</t>
  </si>
  <si>
    <t xml:space="preserve"> mitigationSectors</t>
  </si>
  <si>
    <t xml:space="preserve">Adaptation sector </t>
  </si>
  <si>
    <t xml:space="preserve"> Select the adaptation sector </t>
  </si>
  <si>
    <t xml:space="preserve"> adaptationSectors</t>
  </si>
  <si>
    <t xml:space="preserve">Description </t>
  </si>
  <si>
    <t xml:space="preserve"> Please describe the project including aims, objective, methodology used, life expectancy and outcome. The outcome should be the actual or desired outcome of the project, such as findings of research, levels of emissions or energy savings, level of resilience achieved, human capital potential, other environmental, social and economic benefits.</t>
  </si>
  <si>
    <t xml:space="preserve">Select main sub-sector </t>
  </si>
  <si>
    <t xml:space="preserve"> Select the main sub-sector in which the project is taking place </t>
  </si>
  <si>
    <t xml:space="preserve">Sector description </t>
  </si>
  <si>
    <t xml:space="preserve"> Please describe the sector</t>
  </si>
  <si>
    <t xml:space="preserve">Start year </t>
  </si>
  <si>
    <t xml:space="preserve"> Project life span</t>
  </si>
  <si>
    <t xml:space="preserve">Select secondary sub-sector </t>
  </si>
  <si>
    <t xml:space="preserve"> Select the secondary sub-sector in which the project is taking place </t>
  </si>
  <si>
    <t xml:space="preserve">National policy </t>
  </si>
  <si>
    <t xml:space="preserve"> Indicate the national policy or strategy that the measure is responding to </t>
  </si>
  <si>
    <t>LIST</t>
  </si>
  <si>
    <t xml:space="preserve"> adaptationPolicies</t>
  </si>
  <si>
    <t xml:space="preserve">End year </t>
  </si>
  <si>
    <t xml:space="preserve">Select the type of project </t>
  </si>
  <si>
    <t xml:space="preserve"> Mitigation type and subtype as defined by the UNFCCC CDM pipeline (e.g. industrial energy efficiency - iron &amp; steel, hydro - new dam etc.) </t>
  </si>
  <si>
    <t xml:space="preserve"> mitigationType</t>
  </si>
  <si>
    <t xml:space="preserve">National policy description </t>
  </si>
  <si>
    <t xml:space="preserve"> Please describe the policy</t>
  </si>
  <si>
    <t xml:space="preserve">Link to project website </t>
  </si>
  <si>
    <t xml:space="preserve"> Is there a URI that is associated with this project?</t>
  </si>
  <si>
    <t xml:space="preserve">Select the project sub-type </t>
  </si>
  <si>
    <t xml:space="preserve">Provincial or Municipal policy </t>
  </si>
  <si>
    <t xml:space="preserve"> Indicate the provincial or municipal policy or strategy that the measure is responding to </t>
  </si>
  <si>
    <t xml:space="preserve">Implementing organization </t>
  </si>
  <si>
    <t xml:space="preserve"> Who is implementing the project?</t>
  </si>
  <si>
    <t xml:space="preserve">Select the mitigation program the project is linked to </t>
  </si>
  <si>
    <t xml:space="preserve"> A programme is a high level support measure that support mitigation actions/project types above e.g 1A1 REIPPP </t>
  </si>
  <si>
    <t xml:space="preserve"> mitigationProgramme</t>
  </si>
  <si>
    <t xml:space="preserve">Regional policy description </t>
  </si>
  <si>
    <t>otherImplementingPartners</t>
  </si>
  <si>
    <t xml:space="preserve">Other implementing partners </t>
  </si>
  <si>
    <t xml:space="preserve"> Are there any other partners involved in project implementation?</t>
  </si>
  <si>
    <t xml:space="preserve"> mitigationPolicies</t>
  </si>
  <si>
    <t xml:space="preserve">Indicate the corresponding intervention, goal, or target </t>
  </si>
  <si>
    <t xml:space="preserve"> Please select an appropriate value based on your other form inputs above </t>
  </si>
  <si>
    <t xml:space="preserve">Funding organization </t>
  </si>
  <si>
    <t xml:space="preserve"> Who is the main funding organization?</t>
  </si>
  <si>
    <t xml:space="preserve">(Other) national policy(ies) description </t>
  </si>
  <si>
    <t xml:space="preserve"> Please describe the policy(ies)</t>
  </si>
  <si>
    <t xml:space="preserve">Other corresponding intervention(s), goal(s), or target(s) </t>
  </si>
  <si>
    <t xml:space="preserve"> Please describe based on your other form inputs above</t>
  </si>
  <si>
    <t xml:space="preserve">Actual budget </t>
  </si>
  <si>
    <t xml:space="preserve"> Do you know the actual project budget?</t>
  </si>
  <si>
    <t xml:space="preserve">Hazard </t>
  </si>
  <si>
    <t xml:space="preserve"> Select hazard </t>
  </si>
  <si>
    <t xml:space="preserve"> hazards</t>
  </si>
  <si>
    <t>xy</t>
  </si>
  <si>
    <t xml:space="preserve">GPS point location(s) </t>
  </si>
  <si>
    <t xml:space="preserve"> Include relevant point locations (Longitude / Latitude)</t>
  </si>
  <si>
    <t xml:space="preserve">(Other) regional policy(ies) description </t>
  </si>
  <si>
    <t xml:space="preserve">Hazard description </t>
  </si>
  <si>
    <t xml:space="preserve"> Please describe the hazard</t>
  </si>
  <si>
    <t xml:space="preserve">Name </t>
  </si>
  <si>
    <t xml:space="preserve">Primary intended outcome </t>
  </si>
  <si>
    <t xml:space="preserve"> Primary intended outcome (Indicate the expected or achieved goals)</t>
  </si>
  <si>
    <t>fileUploads</t>
  </si>
  <si>
    <t xml:space="preserve">Upload file(s) </t>
  </si>
  <si>
    <t xml:space="preserve"> Progress and/or status report(s) for this project component</t>
  </si>
  <si>
    <t xml:space="preserve">Company/organization </t>
  </si>
  <si>
    <t xml:space="preserve">Observed and projected climate change impacts </t>
  </si>
  <si>
    <t xml:space="preserve"> What climate change impacts have been observed or projected?</t>
  </si>
  <si>
    <t xml:space="preserve">Position </t>
  </si>
  <si>
    <t xml:space="preserve"> What position does the project manager hold at the company?</t>
  </si>
  <si>
    <t xml:space="preserve">Environmental co-benefit </t>
  </si>
  <si>
    <t xml:space="preserve"> Select co-benefit </t>
  </si>
  <si>
    <t xml:space="preserve"> coBenefits</t>
  </si>
  <si>
    <t xml:space="preserve">Addressed climate change impact </t>
  </si>
  <si>
    <t xml:space="preserve"> Which observed climate change impact(s) is the response addressing</t>
  </si>
  <si>
    <t xml:space="preserve">Email address </t>
  </si>
  <si>
    <t xml:space="preserve">Environmental co-benefit description </t>
  </si>
  <si>
    <t xml:space="preserve"> Please indicate the quantified environmental benefits from the project </t>
  </si>
  <si>
    <t xml:space="preserve">Impact of response </t>
  </si>
  <si>
    <t xml:space="preserve"> What has been the impact of the response in reducing climate change impacts?</t>
  </si>
  <si>
    <t xml:space="preserve">Telephone number </t>
  </si>
  <si>
    <t xml:space="preserve">Social co-benefit </t>
  </si>
  <si>
    <t>progressData</t>
  </si>
  <si>
    <t xml:space="preserve">Achieved progress </t>
  </si>
  <si>
    <t xml:space="preserve"> Achieved progress by project</t>
  </si>
  <si>
    <t xml:space="preserve">Mobile number </t>
  </si>
  <si>
    <t xml:space="preserve">Social co-benefit description </t>
  </si>
  <si>
    <t xml:space="preserve"> Please indicate the quantified social benefits from the project</t>
  </si>
  <si>
    <t xml:space="preserve">City / Town(s) </t>
  </si>
  <si>
    <t xml:space="preserve"> City 1, City 2, etc.</t>
  </si>
  <si>
    <t xml:space="preserve">Economic co-benefit </t>
  </si>
  <si>
    <t>fundingTypeOther</t>
  </si>
  <si>
    <t xml:space="preserve">Type of funding (other) </t>
  </si>
  <si>
    <t xml:space="preserve"> Please indicate the type of funding this project will receive</t>
  </si>
  <si>
    <t xml:space="preserve">Economic co-benefit description </t>
  </si>
  <si>
    <t xml:space="preserve">Estimated budget range </t>
  </si>
  <si>
    <t xml:space="preserve"> If you don't know the actual budget, please provide a range estimate </t>
  </si>
  <si>
    <t xml:space="preserve"> budgetRanges</t>
  </si>
  <si>
    <t xml:space="preserve">Carbon credit </t>
  </si>
  <si>
    <t xml:space="preserve"> Does this project produce carbon credits?</t>
  </si>
  <si>
    <t xml:space="preserve">Indicate the type of measure </t>
  </si>
  <si>
    <t xml:space="preserve"> &lt;b&gt;Mitigation&lt;/b&gt; measures are defined as 'actions aimed at reducing the extent or likelihood of global climate change through the reduction or displacement of greenhouse gas emissions (GHGs) (e.g. through emission reduction, energy efficiency or renewable energy projects'.&lt;br /&gt;&lt;br /&gt;&lt;b&gt;Adaptation&lt;/b&gt; measures are defined as 'actions preventing or minimising the negative effects and taking advantage of positive effects of global warming in addition to actions which would have occurred naturally or as a matter of course.&lt;br /&gt;&lt;br /&gt;&lt;b&gt;Cross-cutting&lt;/b&gt; measures that contain elements of both adaptation and mitigation </t>
  </si>
  <si>
    <t xml:space="preserve"> interventionTypes</t>
  </si>
  <si>
    <t xml:space="preserve">CDM or Voluntary </t>
  </si>
  <si>
    <t xml:space="preserve"> Which carbon-credit standard does this project use? </t>
  </si>
  <si>
    <t xml:space="preserve"> carbonCreditStandards</t>
  </si>
  <si>
    <t xml:space="preserve">Implementation status </t>
  </si>
  <si>
    <t xml:space="preserve"> &lt;b&gt;Operational&lt;/b&gt; - Ongoing project &lt;br /&gt;&lt;b&gt;Planned project&lt;/b&gt; - Project has not begun but is being constructed or has been registered/approved/funded&lt;br /&gt;&lt;b&gt;Complete&lt;/b&gt; - The project has been finalized&lt;br /&gt;&lt;b&gt;Discontinued&lt;/b&gt; - planned project terminated </t>
  </si>
  <si>
    <t xml:space="preserve"> actionStatus</t>
  </si>
  <si>
    <t xml:space="preserve">CDM Executive Board Status </t>
  </si>
  <si>
    <t xml:space="preserve"> What is the CDM status of this project? </t>
  </si>
  <si>
    <t xml:space="preserve"> executiveStatus</t>
  </si>
  <si>
    <t xml:space="preserve">Type of funding </t>
  </si>
  <si>
    <t xml:space="preserve"> Any financial resources that are spent on supporting either mitigation and adaptation efforts in South Africa. Climate finance refers to &lt;b&gt;domestic&lt;/b&gt; (drawn from local public or private organisations), &lt;b&gt;International&lt;/b&gt; (bilateral or multilateral grants or loans). &lt;b&gt;Bilateral&lt;/b&gt; funding describes money which is given directly from one government to another, whereas &lt;b&gt;multilateral&lt;/b&gt; funding comes from numerous different governments and organisations and is usually arranged by an international organisation such as the World Bank or the UN </t>
  </si>
  <si>
    <t xml:space="preserve"> fundingTypes</t>
  </si>
  <si>
    <t xml:space="preserve">CDM methodology </t>
  </si>
  <si>
    <t xml:space="preserve"> Please select the CDM method used in your project. </t>
  </si>
  <si>
    <t xml:space="preserve"> cdmMethodology</t>
  </si>
  <si>
    <t xml:space="preserve">Province </t>
  </si>
  <si>
    <t xml:space="preserve"> Select province(s) </t>
  </si>
  <si>
    <t xml:space="preserve"> regions</t>
  </si>
  <si>
    <t xml:space="preserve">Organization Issuing Credits </t>
  </si>
  <si>
    <t xml:space="preserve"> Which organization issues the voluntary carbon credits? </t>
  </si>
  <si>
    <t xml:space="preserve"> carbonCreditVoluntaryOrganizations</t>
  </si>
  <si>
    <t xml:space="preserve">District municipality </t>
  </si>
  <si>
    <t xml:space="preserve"> Select district municipality(s) </t>
  </si>
  <si>
    <t xml:space="preserve">Voluntary methodology </t>
  </si>
  <si>
    <t xml:space="preserve"> Describe the method used in the project.</t>
  </si>
  <si>
    <t xml:space="preserve">Local municipality </t>
  </si>
  <si>
    <t xml:space="preserve"> Select local municipality(s) </t>
  </si>
  <si>
    <t>carbonCreditCdmProjectNumber</t>
  </si>
  <si>
    <t xml:space="preserve">CDM Project number </t>
  </si>
  <si>
    <t xml:space="preserve"> Please add the CDM project number if you know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</si>
</sst>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2"/>
      <color theme="0"/>
      <name val="Arial"/>
      <family val="2"/>
    </font>
    <font>
      <b/>
      <sz val="16"/>
      <color theme="0"/>
      <name val="Arial"/>
      <family val="2"/>
    </font>
    <font>
      <sz val="16"/>
      <color theme="1"/>
      <name val="Arial"/>
      <family val="2"/>
    </font>
    <font>
      <b/>
      <sz val="12"/>
      <color theme="0"/>
      <name val="Roboto"/>
    </font>
    <font>
      <sz val="12"/>
      <color theme="0"/>
      <name val="Arial"/>
      <family val="2"/>
    </font>
    <font>
      <b/>
      <sz val="28"/>
      <color theme="0"/>
      <name val="Calibri"/>
      <family val="2"/>
      <scheme val="minor"/>
    </font>
    <font>
      <sz val="11"/>
      <color theme="0"/>
      <name val="Calibri"/>
      <family val="2"/>
      <scheme val="minor"/>
    </font>
    <font>
      <sz val="10"/>
      <color theme="0"/>
      <name val="Arial"/>
      <family val="2"/>
    </font>
    <font>
      <sz val="10"/>
      <color theme="0"/>
      <name val="Roboto"/>
    </font>
    <font>
      <sz val="11"/>
      <color theme="0"/>
      <name val="Roboto"/>
    </font>
    <font>
      <sz val="18"/>
      <color theme="1"/>
      <name val="Calibri"/>
      <family val="2"/>
      <scheme val="minor"/>
    </font>
    <font>
      <sz val="18"/>
      <color theme="0"/>
      <name val="Calibri"/>
      <family val="2"/>
      <scheme val="minor"/>
    </font>
    <font>
      <sz val="8"/>
      <name val="Calibri"/>
      <family val="2"/>
      <scheme val="minor"/>
    </font>
    <font>
      <sz val="11"/>
      <name val="Calibri"/>
      <family val="2"/>
    </font>
    <font>
      <sz val="11"/>
      <color rgb="FF000000"/>
      <name val="Calibri"/>
      <family val="2"/>
      <scheme val="minor"/>
    </font>
  </fonts>
  <fills count="9">
    <fill>
      <patternFill patternType="none"/>
    </fill>
    <fill>
      <patternFill patternType="gray125"/>
    </fill>
    <fill>
      <patternFill patternType="solid">
        <fgColor rgb="FF004000"/>
        <bgColor indexed="64"/>
      </patternFill>
    </fill>
    <fill>
      <patternFill patternType="solid">
        <fgColor theme="5" tint="0.79998168889431442"/>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0000"/>
        <bgColor indexed="64"/>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s>
  <cellStyleXfs count="1">
    <xf numFmtId="0" fontId="0" fillId="0" borderId="0"/>
  </cellStyleXfs>
  <cellXfs count="58">
    <xf numFmtId="0" fontId="0" fillId="0" borderId="0" xfId="0"/>
    <xf numFmtId="0" fontId="1" fillId="2" borderId="0" xfId="0" applyFont="1" applyFill="1" applyAlignment="1">
      <alignment vertical="center"/>
    </xf>
    <xf numFmtId="0" fontId="0" fillId="2" borderId="0" xfId="0" applyFill="1" applyAlignment="1">
      <alignment vertical="center"/>
    </xf>
    <xf numFmtId="0" fontId="0" fillId="0" borderId="0" xfId="0" applyAlignment="1">
      <alignment vertical="center"/>
    </xf>
    <xf numFmtId="0" fontId="7" fillId="2" borderId="0" xfId="0" applyFont="1" applyFill="1" applyAlignment="1">
      <alignment vertical="center"/>
    </xf>
    <xf numFmtId="0" fontId="3" fillId="2" borderId="6" xfId="0" applyFont="1" applyFill="1" applyBorder="1" applyAlignment="1">
      <alignment horizontal="left" vertical="center"/>
    </xf>
    <xf numFmtId="0" fontId="3" fillId="2" borderId="7" xfId="0" applyFont="1" applyFill="1" applyBorder="1" applyAlignment="1">
      <alignment horizontal="left" vertical="center"/>
    </xf>
    <xf numFmtId="0" fontId="3" fillId="2" borderId="8" xfId="0" applyFont="1" applyFill="1" applyBorder="1" applyAlignment="1">
      <alignment horizontal="left" vertical="center"/>
    </xf>
    <xf numFmtId="0" fontId="3" fillId="2" borderId="4" xfId="0" applyFont="1" applyFill="1" applyBorder="1" applyAlignment="1">
      <alignment horizontal="left" vertical="center"/>
    </xf>
    <xf numFmtId="0" fontId="4" fillId="2" borderId="8" xfId="0" applyFont="1" applyFill="1" applyBorder="1" applyAlignment="1">
      <alignment horizontal="left" vertical="center"/>
    </xf>
    <xf numFmtId="0" fontId="4" fillId="2" borderId="0" xfId="0" applyFont="1" applyFill="1" applyAlignment="1">
      <alignment horizontal="left" vertical="center"/>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5" fillId="2" borderId="12" xfId="0" applyFont="1" applyFill="1" applyBorder="1" applyAlignment="1">
      <alignment horizontal="left" vertical="center"/>
    </xf>
    <xf numFmtId="0" fontId="5" fillId="2" borderId="13" xfId="0" applyFont="1" applyFill="1" applyBorder="1" applyAlignment="1">
      <alignment horizontal="left" vertical="center"/>
    </xf>
    <xf numFmtId="0" fontId="5" fillId="2" borderId="14" xfId="0" applyFont="1" applyFill="1" applyBorder="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5" fillId="2" borderId="9" xfId="0" applyFont="1" applyFill="1" applyBorder="1" applyAlignment="1">
      <alignment horizontal="left" vertical="center"/>
    </xf>
    <xf numFmtId="0" fontId="5" fillId="2" borderId="10" xfId="0" applyFont="1" applyFill="1" applyBorder="1" applyAlignment="1">
      <alignment horizontal="left" vertical="center"/>
    </xf>
    <xf numFmtId="0" fontId="6" fillId="2" borderId="11" xfId="0" applyFont="1" applyFill="1" applyBorder="1" applyAlignment="1">
      <alignment horizontal="left" vertical="center"/>
    </xf>
    <xf numFmtId="0" fontId="6" fillId="2" borderId="0" xfId="0" applyFont="1" applyFill="1" applyAlignment="1">
      <alignment horizontal="left" vertical="center"/>
    </xf>
    <xf numFmtId="0" fontId="9" fillId="2" borderId="2" xfId="0" applyFont="1" applyFill="1" applyBorder="1" applyAlignment="1">
      <alignment horizontal="left" vertical="center" wrapText="1"/>
    </xf>
    <xf numFmtId="0" fontId="10" fillId="2" borderId="2" xfId="0" applyFont="1" applyFill="1" applyBorder="1" applyAlignment="1">
      <alignment horizontal="left" vertical="center" wrapText="1"/>
    </xf>
    <xf numFmtId="0" fontId="10" fillId="2" borderId="1" xfId="0" applyFont="1" applyFill="1" applyBorder="1" applyAlignment="1">
      <alignment horizontal="left" vertical="center" wrapText="1"/>
    </xf>
    <xf numFmtId="0" fontId="9" fillId="2" borderId="1" xfId="0" applyFont="1" applyFill="1" applyBorder="1" applyAlignment="1">
      <alignment horizontal="left" vertical="center" wrapText="1"/>
    </xf>
    <xf numFmtId="0" fontId="11" fillId="2" borderId="1" xfId="0" applyFont="1" applyFill="1" applyBorder="1" applyAlignment="1">
      <alignment horizontal="left" vertical="center" wrapText="1"/>
    </xf>
    <xf numFmtId="0" fontId="10" fillId="2" borderId="2" xfId="0" applyFont="1" applyFill="1" applyBorder="1" applyAlignment="1">
      <alignment horizontal="left" vertical="center"/>
    </xf>
    <xf numFmtId="0" fontId="8" fillId="2" borderId="0" xfId="0" applyFont="1" applyFill="1" applyAlignment="1">
      <alignment horizontal="left" vertical="center"/>
    </xf>
    <xf numFmtId="0" fontId="0" fillId="0" borderId="0" xfId="0" applyFont="1" applyAlignment="1">
      <alignment vertical="center"/>
    </xf>
    <xf numFmtId="0" fontId="0" fillId="5" borderId="0" xfId="0" applyFill="1" applyAlignment="1">
      <alignment vertical="center"/>
    </xf>
    <xf numFmtId="0" fontId="0" fillId="5"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center" vertical="center"/>
    </xf>
    <xf numFmtId="0" fontId="13" fillId="4" borderId="0" xfId="0" applyFont="1" applyFill="1" applyAlignment="1">
      <alignment horizontal="center" vertical="center"/>
    </xf>
    <xf numFmtId="0" fontId="8" fillId="5" borderId="0" xfId="0" applyFont="1" applyFill="1" applyAlignment="1">
      <alignment horizontal="center" vertical="center"/>
    </xf>
    <xf numFmtId="0" fontId="0" fillId="0" borderId="0" xfId="0" applyFill="1" applyAlignment="1">
      <alignment vertical="center"/>
    </xf>
    <xf numFmtId="0" fontId="0" fillId="6" borderId="0" xfId="0" applyFill="1" applyAlignment="1">
      <alignment vertical="center"/>
    </xf>
    <xf numFmtId="0" fontId="0" fillId="7" borderId="0" xfId="0" applyFill="1" applyAlignment="1">
      <alignment vertical="center"/>
    </xf>
    <xf numFmtId="0" fontId="0" fillId="3" borderId="0" xfId="0" applyFill="1" applyAlignment="1">
      <alignment vertical="center"/>
    </xf>
    <xf numFmtId="0" fontId="1" fillId="8" borderId="0" xfId="0" applyFont="1" applyFill="1" applyAlignment="1">
      <alignment vertical="center"/>
    </xf>
    <xf numFmtId="0" fontId="3" fillId="2" borderId="0" xfId="0" applyFont="1" applyFill="1" applyBorder="1" applyAlignment="1">
      <alignment horizontal="left" vertical="center"/>
    </xf>
    <xf numFmtId="0" fontId="4" fillId="2" borderId="0" xfId="0" applyFont="1" applyFill="1" applyBorder="1" applyAlignment="1">
      <alignment horizontal="left" vertical="center"/>
    </xf>
    <xf numFmtId="0" fontId="2" fillId="2" borderId="0" xfId="0" applyFont="1" applyFill="1" applyBorder="1" applyAlignment="1">
      <alignment horizontal="left" vertical="center"/>
    </xf>
    <xf numFmtId="0" fontId="5" fillId="2" borderId="0" xfId="0" applyFont="1" applyFill="1" applyBorder="1" applyAlignment="1">
      <alignment horizontal="left" vertical="center"/>
    </xf>
    <xf numFmtId="0" fontId="6" fillId="2" borderId="0" xfId="0" applyFont="1" applyFill="1" applyBorder="1" applyAlignment="1">
      <alignment horizontal="left" vertical="center"/>
    </xf>
    <xf numFmtId="0" fontId="9" fillId="2" borderId="0" xfId="0" applyFont="1" applyFill="1" applyBorder="1" applyAlignment="1">
      <alignment horizontal="left" vertical="center" wrapText="1"/>
    </xf>
    <xf numFmtId="0" fontId="10" fillId="2" borderId="0" xfId="0" applyFont="1" applyFill="1" applyBorder="1" applyAlignment="1">
      <alignment horizontal="left" vertical="center" wrapText="1"/>
    </xf>
    <xf numFmtId="0" fontId="11" fillId="2" borderId="0" xfId="0" applyFont="1" applyFill="1" applyBorder="1" applyAlignment="1">
      <alignment horizontal="left" vertical="center" wrapText="1"/>
    </xf>
    <xf numFmtId="0" fontId="10" fillId="2" borderId="0" xfId="0" applyFont="1" applyFill="1" applyBorder="1" applyAlignment="1">
      <alignment horizontal="left" vertical="center"/>
    </xf>
    <xf numFmtId="0" fontId="8" fillId="2" borderId="0" xfId="0" applyFont="1" applyFill="1" applyBorder="1" applyAlignment="1">
      <alignment horizontal="left" vertical="center"/>
    </xf>
    <xf numFmtId="0" fontId="7" fillId="2" borderId="10" xfId="0" applyFont="1" applyFill="1" applyBorder="1" applyAlignment="1">
      <alignment vertical="center"/>
    </xf>
    <xf numFmtId="0" fontId="1" fillId="2" borderId="10" xfId="0" applyFont="1" applyFill="1" applyBorder="1" applyAlignment="1">
      <alignment vertical="center"/>
    </xf>
    <xf numFmtId="0" fontId="0" fillId="2" borderId="10" xfId="0" applyFill="1" applyBorder="1" applyAlignment="1">
      <alignment vertical="center"/>
    </xf>
    <xf numFmtId="0" fontId="15" fillId="0" borderId="0" xfId="0" applyFont="1" applyAlignment="1">
      <alignment horizontal="center"/>
    </xf>
    <xf numFmtId="0" fontId="13" fillId="4" borderId="0" xfId="0" applyFont="1" applyFill="1" applyAlignment="1">
      <alignment horizontal="center" vertical="center"/>
    </xf>
  </cellXfs>
  <cellStyles count="1">
    <cellStyle name="Normal" xfId="0" builtinId="0"/>
  </cellStyles>
  <dxfs count="122">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1" indent="0" justifyLastLine="0" shrinkToFit="0" readingOrder="0"/>
      <border diagonalUp="0" diagonalDown="0" outline="0">
        <left style="medium">
          <color rgb="FFCCCCCC"/>
        </left>
        <right style="medium">
          <color rgb="FFCCCCCC"/>
        </right>
        <top/>
        <bottom/>
      </border>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strike val="0"/>
        <outline val="0"/>
        <shadow val="0"/>
        <u val="none"/>
        <vertAlign val="baseline"/>
        <color theme="0"/>
      </font>
      <fill>
        <patternFill patternType="solid">
          <fgColor indexed="64"/>
          <bgColor rgb="FF004000"/>
        </patternFill>
      </fill>
      <alignment horizontal="left" vertical="center" textRotation="0" indent="0" justifyLastLine="0" shrinkToFit="0" readingOrder="0"/>
    </dxf>
  </dxfs>
  <tableStyles count="0" defaultTableStyle="TableStyleMedium2" defaultPivotStyle="PivotStyleLight16"/>
  <colors>
    <mruColors>
      <color rgb="FF004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1295400</xdr:colOff>
          <xdr:row>0</xdr:row>
          <xdr:rowOff>175260</xdr:rowOff>
        </xdr:from>
        <xdr:to>
          <xdr:col>3</xdr:col>
          <xdr:colOff>685800</xdr:colOff>
          <xdr:row>0</xdr:row>
          <xdr:rowOff>563880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New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746760</xdr:colOff>
          <xdr:row>0</xdr:row>
          <xdr:rowOff>175260</xdr:rowOff>
        </xdr:from>
        <xdr:to>
          <xdr:col>4</xdr:col>
          <xdr:colOff>137160</xdr:colOff>
          <xdr:row>0</xdr:row>
          <xdr:rowOff>563880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Edit Submission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579120</xdr:colOff>
          <xdr:row>0</xdr:row>
          <xdr:rowOff>198120</xdr:rowOff>
        </xdr:from>
        <xdr:to>
          <xdr:col>4</xdr:col>
          <xdr:colOff>236220</xdr:colOff>
          <xdr:row>0</xdr:row>
          <xdr:rowOff>563880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ADD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350520</xdr:colOff>
          <xdr:row>0</xdr:row>
          <xdr:rowOff>213360</xdr:rowOff>
        </xdr:from>
        <xdr:to>
          <xdr:col>4</xdr:col>
          <xdr:colOff>1470660</xdr:colOff>
          <xdr:row>0</xdr:row>
          <xdr:rowOff>571500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EDIT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CW499" totalsRowShown="0" headerRowDxfId="121" dataDxfId="119" headerRowBorderDxfId="120" tableBorderDxfId="118">
  <autoFilter ref="A4:CW499" xr:uid="{00000000-0009-0000-0100-000001000000}"/>
  <tableColumns count="101">
    <tableColumn id="3" xr3:uid="{00000000-0010-0000-0000-000003000000}" name="Title" dataDxfId="117"/>
    <tableColumn id="4" xr3:uid="{00000000-0010-0000-0000-000004000000}" name="Measure type" dataDxfId="116"/>
    <tableColumn id="5" xr3:uid="{00000000-0010-0000-0000-000005000000}" name="Description" dataDxfId="115"/>
    <tableColumn id="6" xr3:uid="{00000000-0010-0000-0000-000006000000}" name="Implementation status" dataDxfId="114"/>
    <tableColumn id="7" xr3:uid="{00000000-0010-0000-0000-000007000000}" name="Implementing organization" dataDxfId="113"/>
    <tableColumn id="8" xr3:uid="{00000000-0010-0000-0000-000008000000}" name="Start year" dataDxfId="112"/>
    <tableColumn id="9" xr3:uid="{00000000-0010-0000-0000-000009000000}" name="End year" dataDxfId="111"/>
    <tableColumn id="10" xr3:uid="{00000000-0010-0000-0000-00000A000000}" name="Website" dataDxfId="110"/>
    <tableColumn id="11" xr3:uid="{00000000-0010-0000-0000-00000B000000}" name="Funding organization" dataDxfId="109"/>
    <tableColumn id="12" xr3:uid="{00000000-0010-0000-0000-00000C000000}" name="Type of funding" dataDxfId="108"/>
    <tableColumn id="13" xr3:uid="{00000000-0010-0000-0000-00000D000000}" name="Actual budget" dataDxfId="107"/>
    <tableColumn id="14" xr3:uid="{00000000-0010-0000-0000-00000E000000}" name="Estimated budget" dataDxfId="106"/>
    <tableColumn id="15" xr3:uid="{00000000-0010-0000-0000-00000F000000}" name="Province" dataDxfId="105"/>
    <tableColumn id="16" xr3:uid="{00000000-0010-0000-0000-000010000000}" name="District" dataDxfId="104"/>
    <tableColumn id="17" xr3:uid="{00000000-0010-0000-0000-000011000000}" name="Local municipality" dataDxfId="103"/>
    <tableColumn id="18" xr3:uid="{00000000-0010-0000-0000-000012000000}" name="Town" dataDxfId="102"/>
    <tableColumn id="19" xr3:uid="{00000000-0010-0000-0000-000013000000}" name="GPS" dataDxfId="101"/>
    <tableColumn id="20" xr3:uid="{00000000-0010-0000-0000-000014000000}" name="Name" dataDxfId="100"/>
    <tableColumn id="21" xr3:uid="{00000000-0010-0000-0000-000015000000}" name="Organisation" dataDxfId="99"/>
    <tableColumn id="22" xr3:uid="{00000000-0010-0000-0000-000016000000}" name="Position" dataDxfId="98"/>
    <tableColumn id="23" xr3:uid="{00000000-0010-0000-0000-000017000000}" name="Email adress" dataDxfId="97"/>
    <tableColumn id="24" xr3:uid="{00000000-0010-0000-0000-000018000000}" name="Telephone number" dataDxfId="96"/>
    <tableColumn id="25" xr3:uid="{00000000-0010-0000-0000-000019000000}" name="Mobile number" dataDxfId="95"/>
    <tableColumn id="26" xr3:uid="{00000000-0010-0000-0000-00001A000000}" name="Host sector" dataDxfId="94"/>
    <tableColumn id="27" xr3:uid="{00000000-0010-0000-0000-00001B000000}" name="Host main sector" dataDxfId="93"/>
    <tableColumn id="28" xr3:uid="{00000000-0010-0000-0000-00001C000000}" name="Host subsector" dataDxfId="92"/>
    <tableColumn id="29" xr3:uid="{00000000-0010-0000-0000-00001D000000}" name="Mitigation type" dataDxfId="91"/>
    <tableColumn id="30" xr3:uid="{00000000-0010-0000-0000-00001E000000}" name="Mitigation subtype" dataDxfId="90"/>
    <tableColumn id="31" xr3:uid="{00000000-0010-0000-0000-00001F000000}" name="Mitigation program" dataDxfId="89"/>
    <tableColumn id="32" xr3:uid="{00000000-0010-0000-0000-000020000000}" name="National policy" dataDxfId="88"/>
    <tableColumn id="33" xr3:uid="{00000000-0010-0000-0000-000021000000}" name="National policy description" dataDxfId="87"/>
    <tableColumn id="34" xr3:uid="{00000000-0010-0000-0000-000022000000}" name="Regional policy" dataDxfId="86"/>
    <tableColumn id="35" xr3:uid="{00000000-0010-0000-0000-000023000000}" name="Regional policy description" dataDxfId="85"/>
    <tableColumn id="36" xr3:uid="{00000000-0010-0000-0000-000024000000}" name="Intended outcome" dataDxfId="84"/>
    <tableColumn id="37" xr3:uid="{00000000-0010-0000-0000-000025000000}" name="Year_1" dataDxfId="83"/>
    <tableColumn id="38" xr3:uid="{00000000-0010-0000-0000-000026000000}" name="Year_2" dataDxfId="82"/>
    <tableColumn id="39" xr3:uid="{00000000-0010-0000-0000-000027000000}" name="Year_3" dataDxfId="81"/>
    <tableColumn id="40" xr3:uid="{00000000-0010-0000-0000-000028000000}" name="Year_4" dataDxfId="80"/>
    <tableColumn id="41" xr3:uid="{00000000-0010-0000-0000-000029000000}" name="Year_5" dataDxfId="79"/>
    <tableColumn id="42" xr3:uid="{00000000-0010-0000-0000-00002A000000}" name="Year_6" dataDxfId="78"/>
    <tableColumn id="43" xr3:uid="{00000000-0010-0000-0000-00002B000000}" name="Year_7" dataDxfId="77"/>
    <tableColumn id="44" xr3:uid="{00000000-0010-0000-0000-00002C000000}" name="Year_8" dataDxfId="76"/>
    <tableColumn id="45" xr3:uid="{00000000-0010-0000-0000-00002D000000}" name="Year_9" dataDxfId="75"/>
    <tableColumn id="46" xr3:uid="{00000000-0010-0000-0000-00002E000000}" name="Year_10" dataDxfId="74"/>
    <tableColumn id="47" xr3:uid="{00000000-0010-0000-0000-00002F000000}" name="Amount_1" dataDxfId="73"/>
    <tableColumn id="48" xr3:uid="{00000000-0010-0000-0000-000030000000}" name="Amount_2" dataDxfId="72"/>
    <tableColumn id="49" xr3:uid="{00000000-0010-0000-0000-000031000000}" name="Amount_3" dataDxfId="71"/>
    <tableColumn id="50" xr3:uid="{00000000-0010-0000-0000-000032000000}" name="Amount_4" dataDxfId="70"/>
    <tableColumn id="51" xr3:uid="{00000000-0010-0000-0000-000033000000}" name="Amount_5" dataDxfId="69"/>
    <tableColumn id="52" xr3:uid="{00000000-0010-0000-0000-000034000000}" name="Amount_6" dataDxfId="68"/>
    <tableColumn id="53" xr3:uid="{00000000-0010-0000-0000-000035000000}" name="Amount_7" dataDxfId="67"/>
    <tableColumn id="54" xr3:uid="{00000000-0010-0000-0000-000036000000}" name="Amount_8" dataDxfId="66"/>
    <tableColumn id="55" xr3:uid="{00000000-0010-0000-0000-000037000000}" name="Amount_9" dataDxfId="65"/>
    <tableColumn id="56" xr3:uid="{00000000-0010-0000-0000-000038000000}" name="Amount_10" dataDxfId="64"/>
    <tableColumn id="57" xr3:uid="{00000000-0010-0000-0000-000039000000}" name="Unit_1" dataDxfId="63"/>
    <tableColumn id="58" xr3:uid="{00000000-0010-0000-0000-00003A000000}" name="Unit_2" dataDxfId="62"/>
    <tableColumn id="59" xr3:uid="{00000000-0010-0000-0000-00003B000000}" name="Unit_3" dataDxfId="61"/>
    <tableColumn id="60" xr3:uid="{00000000-0010-0000-0000-00003C000000}" name="Unit_4" dataDxfId="60"/>
    <tableColumn id="61" xr3:uid="{00000000-0010-0000-0000-00003D000000}" name="Unit_5" dataDxfId="59"/>
    <tableColumn id="62" xr3:uid="{00000000-0010-0000-0000-00003E000000}" name="Unit_6" dataDxfId="58"/>
    <tableColumn id="63" xr3:uid="{00000000-0010-0000-0000-00003F000000}" name="Unit_7" dataDxfId="57"/>
    <tableColumn id="64" xr3:uid="{00000000-0010-0000-0000-000040000000}" name="Unit_8" dataDxfId="56"/>
    <tableColumn id="65" xr3:uid="{00000000-0010-0000-0000-000041000000}" name="Unit_9" dataDxfId="55"/>
    <tableColumn id="66" xr3:uid="{00000000-0010-0000-0000-000042000000}" name="Unit_10" dataDxfId="54"/>
    <tableColumn id="67" xr3:uid="{00000000-0010-0000-0000-000043000000}" name="Year" dataDxfId="53"/>
    <tableColumn id="68" xr3:uid="{00000000-0010-0000-0000-000044000000}" name="Year2" dataDxfId="52"/>
    <tableColumn id="69" xr3:uid="{00000000-0010-0000-0000-000045000000}" name="Year3" dataDxfId="51"/>
    <tableColumn id="70" xr3:uid="{00000000-0010-0000-0000-000046000000}" name="Year4" dataDxfId="50"/>
    <tableColumn id="71" xr3:uid="{00000000-0010-0000-0000-000047000000}" name="Year5" dataDxfId="49"/>
    <tableColumn id="72" xr3:uid="{00000000-0010-0000-0000-000048000000}" name="Year6" dataDxfId="48"/>
    <tableColumn id="73" xr3:uid="{00000000-0010-0000-0000-000049000000}" name="Year7" dataDxfId="47"/>
    <tableColumn id="74" xr3:uid="{00000000-0010-0000-0000-00004A000000}" name="Year8" dataDxfId="46"/>
    <tableColumn id="75" xr3:uid="{00000000-0010-0000-0000-00004B000000}" name="Year9" dataDxfId="45"/>
    <tableColumn id="76" xr3:uid="{00000000-0010-0000-0000-00004C000000}" name="Year10" dataDxfId="44"/>
    <tableColumn id="77" xr3:uid="{00000000-0010-0000-0000-00004D000000}" name="Expenditure in (ZAR)" dataDxfId="43"/>
    <tableColumn id="78" xr3:uid="{00000000-0010-0000-0000-00004E000000}" name="Expenditure in (ZAR)11" dataDxfId="42"/>
    <tableColumn id="79" xr3:uid="{00000000-0010-0000-0000-00004F000000}" name="Expenditure in (ZAR)12" dataDxfId="41"/>
    <tableColumn id="80" xr3:uid="{00000000-0010-0000-0000-000050000000}" name="Expenditure in (ZAR)13" dataDxfId="40"/>
    <tableColumn id="81" xr3:uid="{00000000-0010-0000-0000-000051000000}" name="Expenditure in (ZAR)14" dataDxfId="39"/>
    <tableColumn id="82" xr3:uid="{00000000-0010-0000-0000-000052000000}" name="Expenditure in (ZAR)15" dataDxfId="38"/>
    <tableColumn id="83" xr3:uid="{00000000-0010-0000-0000-000053000000}" name="Expenditure in (ZAR)16" dataDxfId="37"/>
    <tableColumn id="84" xr3:uid="{00000000-0010-0000-0000-000054000000}" name="Expenditure in (ZAR)17" dataDxfId="36"/>
    <tableColumn id="85" xr3:uid="{00000000-0010-0000-0000-000055000000}" name="Expenditure in (ZAR)18" dataDxfId="35"/>
    <tableColumn id="86" xr3:uid="{00000000-0010-0000-0000-000056000000}" name="Expenditure in (ZAR)19" dataDxfId="34"/>
    <tableColumn id="87" xr3:uid="{00000000-0010-0000-0000-000057000000}" name="Environmental co-benefit" dataDxfId="33"/>
    <tableColumn id="88" xr3:uid="{00000000-0010-0000-0000-000058000000}" name="Environmental co-benefit description" dataDxfId="32"/>
    <tableColumn id="89" xr3:uid="{00000000-0010-0000-0000-000059000000}" name="Social co-benefit" dataDxfId="31"/>
    <tableColumn id="90" xr3:uid="{00000000-0010-0000-0000-00005A000000}" name="Social co-benefit description" dataDxfId="30"/>
    <tableColumn id="91" xr3:uid="{00000000-0010-0000-0000-00005B000000}" name="Economic co-benefit" dataDxfId="29"/>
    <tableColumn id="92" xr3:uid="{00000000-0010-0000-0000-00005C000000}" name="Select co-benefit" dataDxfId="28"/>
    <tableColumn id="93" xr3:uid="{00000000-0010-0000-0000-00005D000000}" name="Carbon credit" dataDxfId="27"/>
    <tableColumn id="94" xr3:uid="{00000000-0010-0000-0000-00005E000000}" name="CDM or Voluntary" dataDxfId="26"/>
    <tableColumn id="95" xr3:uid="{00000000-0010-0000-0000-00005F000000}" name="CDM Executive Board Status" dataDxfId="25"/>
    <tableColumn id="96" xr3:uid="{00000000-0010-0000-0000-000060000000}" name="CDM methodology" dataDxfId="24"/>
    <tableColumn id="97" xr3:uid="{00000000-0010-0000-0000-000061000000}" name="Organization Issuing Credits" dataDxfId="23"/>
    <tableColumn id="98" xr3:uid="{00000000-0010-0000-0000-000062000000}" name="Voluntary methodology" dataDxfId="22"/>
    <tableColumn id="99" xr3:uid="{00000000-0010-0000-0000-000063000000}" name="Adaptation sector" dataDxfId="21"/>
    <tableColumn id="100" xr3:uid="{00000000-0010-0000-0000-000064000000}" name="Other sector" dataDxfId="20"/>
    <tableColumn id="101" xr3:uid="{00000000-0010-0000-0000-000065000000}" name="National policy20" dataDxfId="19"/>
    <tableColumn id="102" xr3:uid="{00000000-0010-0000-0000-000066000000}" name="Other national policy" dataDxfId="18"/>
    <tableColumn id="103" xr3:uid="{00000000-0010-0000-0000-000067000000}" name="Indicate the corresponding intervention, goal, or target" dataDxfId="1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X4:CX500" totalsRowShown="0" headerRowDxfId="16" dataDxfId="14" headerRowBorderDxfId="15" tableBorderDxfId="13">
  <autoFilter ref="CX4:CX500" xr:uid="{00000000-0009-0000-0100-000002000000}"/>
  <tableColumns count="1">
    <tableColumn id="1" xr3:uid="{00000000-0010-0000-0100-000001000000}" name="Other corresponding" dataDxfId="12"/>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Y4:DF500" totalsRowShown="0" headerRowDxfId="11" dataDxfId="9" headerRowBorderDxfId="10" tableBorderDxfId="8">
  <autoFilter ref="CY4:DF500" xr:uid="{00000000-0009-0000-0100-000003000000}"/>
  <tableColumns count="8">
    <tableColumn id="1" xr3:uid="{00000000-0010-0000-0200-000001000000}" name="Provincial or Municipal policy" dataDxfId="7"/>
    <tableColumn id="2" xr3:uid="{00000000-0010-0000-0200-000002000000}" name="Other regional policy" dataDxfId="6"/>
    <tableColumn id="3" xr3:uid="{00000000-0010-0000-0200-000003000000}" name="Hazard" dataDxfId="5"/>
    <tableColumn id="4" xr3:uid="{00000000-0010-0000-0200-000004000000}" name="Other hazard" dataDxfId="4"/>
    <tableColumn id="5" xr3:uid="{00000000-0010-0000-0200-000005000000}" name="Observed climate change impacts" dataDxfId="3"/>
    <tableColumn id="6" xr3:uid="{00000000-0010-0000-0200-000006000000}" name="Addressed climate change impact" dataDxfId="2"/>
    <tableColumn id="7" xr3:uid="{00000000-0010-0000-0200-000007000000}" name="Impact of response" dataDxfId="1"/>
    <tableColumn id="8" xr3:uid="{00000000-0010-0000-0200-000008000000}" name="Column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D877B-192B-4A71-A15D-10626ABD40E8}">
  <sheetPr codeName="Sheet2">
    <tabColor theme="9" tint="-0.249977111117893"/>
  </sheetPr>
  <dimension ref="A1:AJZ4"/>
  <sheetViews>
    <sheetView tabSelected="1" workbookViewId="0">
      <selection activeCell="D10" sqref="D10"/>
    </sheetView>
  </sheetViews>
  <sheetFormatPr defaultColWidth="25.88671875" defaultRowHeight="14.4" x14ac:dyDescent="0.3"/>
  <sheetData>
    <row r="1" spans="1:962" s="55" customFormat="1" ht="58.5" customHeight="1" thickBot="1" x14ac:dyDescent="0.35">
      <c r="A1" s="53" t="s">
        <v>252</v>
      </c>
      <c r="B1" s="54"/>
      <c r="C1" s="54"/>
      <c r="D1" s="5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4"/>
    </row>
    <row r="2" spans="1:962" s="44" customFormat="1" ht="30" customHeight="1" x14ac:dyDescent="0.3">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row>
    <row r="3" spans="1:962" s="47" customFormat="1" ht="35.25" customHeight="1" x14ac:dyDescent="0.3">
      <c r="A3" s="45"/>
      <c r="B3" s="45"/>
      <c r="C3" s="45"/>
      <c r="D3" s="45"/>
      <c r="E3" s="45"/>
      <c r="F3" s="45"/>
      <c r="G3" s="45"/>
      <c r="H3" s="45"/>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c r="DA3" s="46"/>
      <c r="DB3" s="46"/>
      <c r="DC3" s="46"/>
      <c r="DD3" s="46"/>
      <c r="DE3" s="46"/>
    </row>
    <row r="4" spans="1:962" s="52" customFormat="1" ht="21.75" customHeight="1" x14ac:dyDescent="0.3">
      <c r="A4" s="48"/>
      <c r="B4" s="48"/>
      <c r="C4" s="48"/>
      <c r="D4" s="49"/>
      <c r="E4" s="49"/>
      <c r="F4" s="48"/>
      <c r="G4" s="48"/>
      <c r="H4" s="48"/>
      <c r="I4" s="49"/>
      <c r="J4" s="48"/>
      <c r="K4" s="48"/>
      <c r="L4" s="49"/>
      <c r="M4" s="49"/>
      <c r="N4" s="48"/>
      <c r="O4" s="48"/>
      <c r="P4" s="48"/>
      <c r="Q4" s="48"/>
      <c r="R4" s="48"/>
      <c r="S4" s="48"/>
      <c r="T4" s="48"/>
      <c r="U4" s="48"/>
      <c r="V4" s="48"/>
      <c r="W4" s="48"/>
      <c r="X4" s="48"/>
      <c r="Y4" s="48"/>
      <c r="Z4" s="48"/>
      <c r="AA4" s="48"/>
      <c r="AB4" s="48"/>
      <c r="AC4" s="49"/>
      <c r="AD4" s="49"/>
      <c r="AE4" s="49"/>
      <c r="AF4" s="49"/>
      <c r="AG4" s="49"/>
      <c r="AH4" s="49"/>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50"/>
      <c r="BX4" s="50"/>
      <c r="BY4" s="50"/>
      <c r="BZ4" s="50"/>
      <c r="CA4" s="50"/>
      <c r="CB4" s="50"/>
      <c r="CC4" s="50"/>
      <c r="CD4" s="50"/>
      <c r="CE4" s="50"/>
      <c r="CF4" s="50"/>
      <c r="CG4" s="49"/>
      <c r="CH4" s="49"/>
      <c r="CI4" s="49"/>
      <c r="CJ4" s="49"/>
      <c r="CK4" s="49"/>
      <c r="CL4" s="49"/>
      <c r="CM4" s="49"/>
      <c r="CN4" s="49"/>
      <c r="CO4" s="49"/>
      <c r="CP4" s="49"/>
      <c r="CQ4" s="49"/>
      <c r="CR4" s="49"/>
      <c r="CS4" s="49"/>
      <c r="CT4" s="49"/>
      <c r="CU4" s="49"/>
      <c r="CV4" s="48"/>
      <c r="CW4" s="48"/>
      <c r="CX4" s="49"/>
      <c r="CY4" s="49"/>
      <c r="CZ4" s="49"/>
      <c r="DA4" s="49"/>
      <c r="DB4" s="49"/>
      <c r="DC4" s="49"/>
      <c r="DD4" s="49"/>
      <c r="DE4" s="51"/>
      <c r="DF4" s="49"/>
      <c r="DG4" s="48"/>
      <c r="DH4" s="48"/>
      <c r="DI4" s="48"/>
      <c r="DJ4" s="48"/>
      <c r="DK4" s="48"/>
      <c r="DL4" s="48"/>
      <c r="DM4" s="48"/>
      <c r="DN4" s="48"/>
      <c r="DO4" s="48"/>
      <c r="DP4" s="48"/>
      <c r="DQ4" s="48"/>
      <c r="DR4" s="48"/>
      <c r="DS4" s="48"/>
      <c r="DT4" s="48"/>
      <c r="DU4" s="48"/>
      <c r="DV4" s="48"/>
      <c r="DW4" s="48"/>
      <c r="DX4" s="48"/>
      <c r="DY4" s="48"/>
      <c r="DZ4" s="48"/>
      <c r="EA4" s="48"/>
      <c r="EB4" s="48"/>
      <c r="EC4" s="48"/>
      <c r="ED4" s="48"/>
      <c r="EE4" s="48"/>
      <c r="EF4" s="48"/>
      <c r="EG4" s="48"/>
      <c r="EH4" s="48"/>
      <c r="EI4" s="48"/>
      <c r="EJ4" s="48"/>
      <c r="EK4" s="48"/>
      <c r="EL4" s="48"/>
      <c r="EM4" s="48"/>
      <c r="EN4" s="48"/>
      <c r="EO4" s="48"/>
      <c r="EP4" s="48"/>
      <c r="EQ4" s="48"/>
      <c r="ER4" s="48"/>
      <c r="ES4" s="48"/>
      <c r="ET4" s="48"/>
      <c r="EU4" s="48"/>
      <c r="EV4" s="48"/>
      <c r="EW4" s="48"/>
      <c r="EX4" s="48"/>
      <c r="EY4" s="48"/>
      <c r="EZ4" s="48"/>
      <c r="FA4" s="48"/>
      <c r="FB4" s="48"/>
      <c r="FC4" s="48"/>
      <c r="FD4" s="48"/>
      <c r="FE4" s="48"/>
      <c r="FF4" s="48"/>
      <c r="FG4" s="48"/>
      <c r="FH4" s="48"/>
      <c r="FI4" s="48"/>
      <c r="FJ4" s="48"/>
      <c r="FK4" s="48"/>
      <c r="FL4" s="48"/>
      <c r="FM4" s="48"/>
      <c r="FN4" s="48"/>
      <c r="FO4" s="48"/>
      <c r="FP4" s="48"/>
      <c r="FQ4" s="48"/>
      <c r="FR4" s="48"/>
      <c r="FS4" s="48"/>
      <c r="FT4" s="48"/>
      <c r="FU4" s="48"/>
      <c r="FV4" s="48"/>
      <c r="FW4" s="48"/>
      <c r="FX4" s="48"/>
      <c r="FY4" s="48"/>
      <c r="FZ4" s="48"/>
      <c r="GA4" s="48"/>
      <c r="GB4" s="48"/>
      <c r="GC4" s="48"/>
      <c r="GD4" s="48"/>
      <c r="GE4" s="48"/>
      <c r="GF4" s="48"/>
      <c r="GG4" s="48"/>
      <c r="GH4" s="48"/>
      <c r="GI4" s="48"/>
      <c r="GJ4" s="48"/>
      <c r="GK4" s="48"/>
      <c r="GL4" s="48"/>
      <c r="GM4" s="48"/>
      <c r="GN4" s="48"/>
      <c r="GO4" s="48"/>
      <c r="GP4" s="48"/>
      <c r="GQ4" s="48"/>
      <c r="GR4" s="48"/>
      <c r="GS4" s="48"/>
      <c r="GT4" s="48"/>
      <c r="GU4" s="48"/>
      <c r="GV4" s="48"/>
      <c r="GW4" s="48"/>
      <c r="GX4" s="48"/>
      <c r="GY4" s="48"/>
      <c r="GZ4" s="48"/>
      <c r="HA4" s="48"/>
      <c r="HB4" s="48"/>
      <c r="HC4" s="48"/>
      <c r="HD4" s="48"/>
      <c r="HE4" s="48"/>
      <c r="HF4" s="48"/>
      <c r="HG4" s="48"/>
      <c r="HH4" s="48"/>
      <c r="HI4" s="48"/>
      <c r="HJ4" s="48"/>
      <c r="HK4" s="48"/>
      <c r="HL4" s="48"/>
      <c r="HM4" s="48"/>
      <c r="HN4" s="48"/>
      <c r="HO4" s="48"/>
      <c r="HP4" s="48"/>
      <c r="HQ4" s="48"/>
      <c r="HR4" s="48"/>
      <c r="HS4" s="48"/>
      <c r="HT4" s="48"/>
      <c r="HU4" s="48"/>
      <c r="HV4" s="48"/>
      <c r="HW4" s="48"/>
      <c r="HX4" s="48"/>
      <c r="HY4" s="48"/>
      <c r="HZ4" s="48"/>
      <c r="IA4" s="48"/>
      <c r="IB4" s="48"/>
      <c r="IC4" s="48"/>
      <c r="ID4" s="48"/>
      <c r="IE4" s="48"/>
      <c r="IF4" s="48"/>
      <c r="IG4" s="48"/>
      <c r="IH4" s="48"/>
      <c r="II4" s="48"/>
      <c r="IJ4" s="48"/>
      <c r="IK4" s="48"/>
      <c r="IL4" s="48"/>
      <c r="IM4" s="48"/>
      <c r="IN4" s="48"/>
      <c r="IO4" s="48"/>
      <c r="IP4" s="48"/>
      <c r="IQ4" s="48"/>
      <c r="IR4" s="48"/>
      <c r="IS4" s="48"/>
      <c r="IT4" s="48"/>
      <c r="IU4" s="48"/>
      <c r="IV4" s="48"/>
      <c r="IW4" s="48"/>
      <c r="IX4" s="48"/>
      <c r="IY4" s="48"/>
      <c r="IZ4" s="48"/>
      <c r="JA4" s="48"/>
      <c r="JB4" s="48"/>
      <c r="JC4" s="48"/>
      <c r="JD4" s="48"/>
      <c r="JE4" s="48"/>
      <c r="JF4" s="48"/>
      <c r="JG4" s="48"/>
      <c r="JH4" s="48"/>
      <c r="JI4" s="48"/>
      <c r="JJ4" s="48"/>
      <c r="JK4" s="48"/>
      <c r="JL4" s="48"/>
      <c r="JM4" s="48"/>
      <c r="JN4" s="48"/>
      <c r="JO4" s="48"/>
      <c r="JP4" s="48"/>
      <c r="JQ4" s="48"/>
      <c r="JR4" s="48"/>
      <c r="JS4" s="48"/>
      <c r="JT4" s="48"/>
      <c r="JU4" s="48"/>
      <c r="JV4" s="48"/>
      <c r="JW4" s="48"/>
      <c r="JX4" s="48"/>
      <c r="JY4" s="48"/>
      <c r="JZ4" s="48"/>
      <c r="KA4" s="48"/>
      <c r="KB4" s="48"/>
      <c r="KC4" s="48"/>
      <c r="KD4" s="48"/>
      <c r="KE4" s="48"/>
      <c r="KF4" s="48"/>
      <c r="KG4" s="48"/>
      <c r="KH4" s="48"/>
      <c r="KI4" s="48"/>
      <c r="KJ4" s="48"/>
      <c r="KK4" s="48"/>
      <c r="KL4" s="48"/>
      <c r="KM4" s="48"/>
      <c r="KN4" s="48"/>
      <c r="KO4" s="48"/>
      <c r="KP4" s="48"/>
      <c r="KQ4" s="48"/>
      <c r="KR4" s="48"/>
      <c r="KS4" s="48"/>
      <c r="KT4" s="48"/>
      <c r="KU4" s="48"/>
      <c r="KV4" s="48"/>
      <c r="KW4" s="48"/>
      <c r="KX4" s="48"/>
      <c r="KY4" s="48"/>
      <c r="KZ4" s="48"/>
      <c r="LA4" s="48"/>
      <c r="LB4" s="48"/>
      <c r="LC4" s="48"/>
      <c r="LD4" s="48"/>
      <c r="LE4" s="48"/>
      <c r="LF4" s="48"/>
      <c r="LG4" s="48"/>
      <c r="LH4" s="48"/>
      <c r="LI4" s="48"/>
      <c r="LJ4" s="48"/>
      <c r="LK4" s="48"/>
      <c r="LL4" s="48"/>
      <c r="LM4" s="48"/>
      <c r="LN4" s="48"/>
      <c r="LO4" s="48"/>
      <c r="LP4" s="48"/>
      <c r="LQ4" s="48"/>
      <c r="LR4" s="48"/>
      <c r="LS4" s="48"/>
      <c r="LT4" s="48"/>
      <c r="LU4" s="48"/>
      <c r="LV4" s="48"/>
      <c r="LW4" s="48"/>
      <c r="LX4" s="48"/>
      <c r="LY4" s="48"/>
      <c r="LZ4" s="48"/>
      <c r="MA4" s="48"/>
      <c r="MB4" s="48"/>
      <c r="MC4" s="48"/>
      <c r="MD4" s="48"/>
      <c r="ME4" s="48"/>
      <c r="MF4" s="48"/>
      <c r="MG4" s="48"/>
      <c r="MH4" s="48"/>
      <c r="MI4" s="48"/>
      <c r="MJ4" s="48"/>
      <c r="MK4" s="48"/>
      <c r="ML4" s="48"/>
      <c r="MM4" s="48"/>
      <c r="MN4" s="48"/>
      <c r="MO4" s="48"/>
      <c r="MP4" s="48"/>
      <c r="MQ4" s="48"/>
      <c r="MR4" s="48"/>
      <c r="MS4" s="48"/>
      <c r="MT4" s="48"/>
      <c r="MU4" s="48"/>
      <c r="MV4" s="48"/>
      <c r="MW4" s="48"/>
      <c r="MX4" s="48"/>
      <c r="MY4" s="48"/>
      <c r="MZ4" s="48"/>
      <c r="NA4" s="48"/>
      <c r="NB4" s="48"/>
      <c r="NC4" s="48"/>
      <c r="ND4" s="48"/>
      <c r="NE4" s="48"/>
      <c r="NF4" s="48"/>
      <c r="NG4" s="48"/>
      <c r="NH4" s="48"/>
      <c r="NI4" s="48"/>
      <c r="NJ4" s="48"/>
      <c r="NK4" s="48"/>
      <c r="NL4" s="48"/>
      <c r="NM4" s="48"/>
      <c r="NN4" s="48"/>
      <c r="NO4" s="48"/>
      <c r="NP4" s="48"/>
      <c r="NQ4" s="48"/>
      <c r="NR4" s="48"/>
      <c r="NS4" s="48"/>
      <c r="NT4" s="48"/>
      <c r="NU4" s="48"/>
      <c r="NV4" s="48"/>
      <c r="NW4" s="48"/>
      <c r="NX4" s="48"/>
      <c r="NY4" s="48"/>
      <c r="NZ4" s="48"/>
      <c r="OA4" s="48"/>
      <c r="OB4" s="48"/>
      <c r="OC4" s="48"/>
      <c r="OD4" s="48"/>
      <c r="OE4" s="48"/>
      <c r="OF4" s="48"/>
      <c r="OG4" s="48"/>
      <c r="OH4" s="48"/>
      <c r="OI4" s="48"/>
      <c r="OJ4" s="48"/>
      <c r="OK4" s="48"/>
      <c r="OL4" s="48"/>
      <c r="OM4" s="48"/>
      <c r="ON4" s="48"/>
      <c r="OO4" s="48"/>
      <c r="OP4" s="48"/>
      <c r="OQ4" s="48"/>
      <c r="OR4" s="48"/>
      <c r="OS4" s="48"/>
      <c r="OT4" s="48"/>
      <c r="OU4" s="48"/>
      <c r="OV4" s="48"/>
      <c r="OW4" s="48"/>
      <c r="OX4" s="48"/>
      <c r="OY4" s="48"/>
      <c r="OZ4" s="48"/>
      <c r="PA4" s="48"/>
      <c r="PB4" s="48"/>
      <c r="PC4" s="48"/>
      <c r="PD4" s="48"/>
      <c r="PE4" s="48"/>
      <c r="PF4" s="48"/>
      <c r="PG4" s="48"/>
      <c r="PH4" s="48"/>
      <c r="PI4" s="48"/>
      <c r="PJ4" s="48"/>
      <c r="PK4" s="48"/>
      <c r="PL4" s="48"/>
      <c r="PM4" s="48"/>
      <c r="PN4" s="48"/>
      <c r="PO4" s="48"/>
      <c r="PP4" s="48"/>
      <c r="PQ4" s="48"/>
      <c r="PR4" s="48"/>
      <c r="PS4" s="48"/>
      <c r="PT4" s="48"/>
      <c r="PU4" s="48"/>
      <c r="PV4" s="48"/>
      <c r="PW4" s="48"/>
      <c r="PX4" s="48"/>
      <c r="PY4" s="48"/>
      <c r="PZ4" s="48"/>
      <c r="QA4" s="48"/>
      <c r="QB4" s="48"/>
      <c r="QC4" s="48"/>
      <c r="QD4" s="48"/>
      <c r="QE4" s="48"/>
      <c r="QF4" s="48"/>
      <c r="QG4" s="48"/>
      <c r="QH4" s="48"/>
      <c r="QI4" s="48"/>
      <c r="QJ4" s="48"/>
      <c r="QK4" s="48"/>
      <c r="QL4" s="48"/>
      <c r="QM4" s="48"/>
      <c r="QN4" s="48"/>
      <c r="QO4" s="48"/>
      <c r="QP4" s="48"/>
      <c r="QQ4" s="48"/>
      <c r="QR4" s="48"/>
      <c r="QS4" s="48"/>
      <c r="QT4" s="48"/>
      <c r="QU4" s="48"/>
      <c r="QV4" s="48"/>
      <c r="QW4" s="48"/>
      <c r="QX4" s="48"/>
      <c r="QY4" s="48"/>
      <c r="QZ4" s="48"/>
      <c r="RA4" s="48"/>
      <c r="RB4" s="48"/>
      <c r="RC4" s="48"/>
      <c r="RD4" s="48"/>
      <c r="RE4" s="48"/>
      <c r="RF4" s="48"/>
      <c r="RG4" s="48"/>
      <c r="RH4" s="48"/>
      <c r="RI4" s="48"/>
      <c r="RJ4" s="48"/>
      <c r="RK4" s="48"/>
      <c r="RL4" s="48"/>
      <c r="RM4" s="48"/>
      <c r="RN4" s="48"/>
      <c r="RO4" s="48"/>
      <c r="RP4" s="48"/>
      <c r="RQ4" s="48"/>
      <c r="RR4" s="48"/>
      <c r="RS4" s="48"/>
      <c r="RT4" s="48"/>
      <c r="RU4" s="48"/>
      <c r="RV4" s="48"/>
      <c r="RW4" s="48"/>
      <c r="RX4" s="48"/>
      <c r="RY4" s="48"/>
      <c r="RZ4" s="48"/>
      <c r="SA4" s="48"/>
      <c r="SB4" s="48"/>
      <c r="SC4" s="48"/>
      <c r="SD4" s="48"/>
      <c r="SE4" s="48"/>
      <c r="SF4" s="48"/>
      <c r="SG4" s="48"/>
      <c r="SH4" s="48"/>
      <c r="SI4" s="48"/>
      <c r="SJ4" s="48"/>
      <c r="SK4" s="48"/>
      <c r="SL4" s="48"/>
      <c r="SM4" s="48"/>
      <c r="SN4" s="48"/>
      <c r="SO4" s="48"/>
      <c r="SP4" s="48"/>
      <c r="SQ4" s="48"/>
      <c r="SR4" s="48"/>
      <c r="SS4" s="48"/>
      <c r="ST4" s="48"/>
      <c r="SU4" s="48"/>
      <c r="SV4" s="48"/>
      <c r="SW4" s="48"/>
      <c r="SX4" s="48"/>
      <c r="SY4" s="48"/>
      <c r="SZ4" s="48"/>
      <c r="TA4" s="48"/>
      <c r="TB4" s="48"/>
      <c r="TC4" s="48"/>
      <c r="TD4" s="48"/>
      <c r="TE4" s="48"/>
      <c r="TF4" s="48"/>
      <c r="TG4" s="48"/>
      <c r="TH4" s="48"/>
      <c r="TI4" s="48"/>
      <c r="TJ4" s="48"/>
      <c r="TK4" s="48"/>
      <c r="TL4" s="48"/>
      <c r="TM4" s="48"/>
      <c r="TN4" s="48"/>
      <c r="TO4" s="48"/>
      <c r="TP4" s="48"/>
      <c r="TQ4" s="48"/>
      <c r="TR4" s="48"/>
      <c r="TS4" s="48"/>
      <c r="TT4" s="48"/>
      <c r="TU4" s="48"/>
      <c r="TV4" s="48"/>
      <c r="TW4" s="48"/>
      <c r="TX4" s="48"/>
      <c r="TY4" s="48"/>
      <c r="TZ4" s="48"/>
      <c r="UA4" s="48"/>
      <c r="UB4" s="48"/>
      <c r="UC4" s="48"/>
      <c r="UD4" s="48"/>
      <c r="UE4" s="48"/>
      <c r="UF4" s="48"/>
      <c r="UG4" s="48"/>
      <c r="UH4" s="48"/>
      <c r="UI4" s="48"/>
      <c r="UJ4" s="48"/>
      <c r="UK4" s="48"/>
      <c r="UL4" s="48"/>
      <c r="UM4" s="48"/>
      <c r="UN4" s="48"/>
      <c r="UO4" s="48"/>
      <c r="UP4" s="48"/>
      <c r="UQ4" s="48"/>
      <c r="UR4" s="48"/>
      <c r="US4" s="48"/>
      <c r="UT4" s="48"/>
      <c r="UU4" s="48"/>
      <c r="UV4" s="48"/>
      <c r="UW4" s="48"/>
      <c r="UX4" s="48"/>
      <c r="UY4" s="48"/>
      <c r="UZ4" s="48"/>
      <c r="VA4" s="48"/>
      <c r="VB4" s="48"/>
      <c r="VC4" s="48"/>
      <c r="VD4" s="48"/>
      <c r="VE4" s="48"/>
      <c r="VF4" s="48"/>
      <c r="VG4" s="48"/>
      <c r="VH4" s="48"/>
      <c r="VI4" s="48"/>
      <c r="VJ4" s="48"/>
      <c r="VK4" s="48"/>
      <c r="VL4" s="48"/>
      <c r="VM4" s="48"/>
      <c r="VN4" s="48"/>
      <c r="VO4" s="48"/>
      <c r="VP4" s="48"/>
      <c r="VQ4" s="48"/>
      <c r="VR4" s="48"/>
      <c r="VS4" s="48"/>
      <c r="VT4" s="48"/>
      <c r="VU4" s="48"/>
      <c r="VV4" s="48"/>
      <c r="VW4" s="48"/>
      <c r="VX4" s="48"/>
      <c r="VY4" s="48"/>
      <c r="VZ4" s="48"/>
      <c r="WA4" s="48"/>
      <c r="WB4" s="48"/>
      <c r="WC4" s="48"/>
      <c r="WD4" s="48"/>
      <c r="WE4" s="48"/>
      <c r="WF4" s="48"/>
      <c r="WG4" s="48"/>
      <c r="WH4" s="48"/>
      <c r="WI4" s="48"/>
      <c r="WJ4" s="48"/>
      <c r="WK4" s="48"/>
      <c r="WL4" s="48"/>
      <c r="WM4" s="48"/>
      <c r="WN4" s="48"/>
      <c r="WO4" s="48"/>
      <c r="WP4" s="48"/>
      <c r="WQ4" s="48"/>
      <c r="WR4" s="48"/>
      <c r="WS4" s="48"/>
      <c r="WT4" s="48"/>
      <c r="WU4" s="48"/>
      <c r="WV4" s="48"/>
      <c r="WW4" s="48"/>
      <c r="WX4" s="48"/>
      <c r="WY4" s="48"/>
      <c r="WZ4" s="48"/>
      <c r="XA4" s="48"/>
      <c r="XB4" s="48"/>
      <c r="XC4" s="48"/>
      <c r="XD4" s="48"/>
      <c r="XE4" s="48"/>
      <c r="XF4" s="48"/>
      <c r="XG4" s="48"/>
      <c r="XH4" s="48"/>
      <c r="XI4" s="48"/>
      <c r="XJ4" s="48"/>
      <c r="XK4" s="48"/>
      <c r="XL4" s="48"/>
      <c r="XM4" s="48"/>
      <c r="XN4" s="48"/>
      <c r="XO4" s="48"/>
      <c r="XP4" s="48"/>
      <c r="XQ4" s="48"/>
      <c r="XR4" s="48"/>
      <c r="XS4" s="48"/>
      <c r="XT4" s="48"/>
      <c r="XU4" s="48"/>
      <c r="XV4" s="48"/>
      <c r="XW4" s="48"/>
      <c r="XX4" s="48"/>
      <c r="XY4" s="48"/>
      <c r="XZ4" s="48"/>
      <c r="YA4" s="48"/>
      <c r="YB4" s="48"/>
      <c r="YC4" s="48"/>
      <c r="YD4" s="48"/>
      <c r="YE4" s="48"/>
      <c r="YF4" s="48"/>
      <c r="YG4" s="48"/>
      <c r="YH4" s="48"/>
      <c r="YI4" s="48"/>
      <c r="YJ4" s="48"/>
      <c r="YK4" s="48"/>
      <c r="YL4" s="48"/>
      <c r="YM4" s="48"/>
      <c r="YN4" s="48"/>
      <c r="YO4" s="48"/>
      <c r="YP4" s="48"/>
      <c r="YQ4" s="48"/>
      <c r="YR4" s="48"/>
      <c r="YS4" s="48"/>
      <c r="YT4" s="48"/>
      <c r="YU4" s="48"/>
      <c r="YV4" s="48"/>
      <c r="YW4" s="48"/>
      <c r="YX4" s="48"/>
      <c r="YY4" s="48"/>
      <c r="YZ4" s="48"/>
      <c r="ZA4" s="48"/>
      <c r="ZB4" s="48"/>
      <c r="ZC4" s="48"/>
      <c r="ZD4" s="48"/>
      <c r="ZE4" s="48"/>
      <c r="ZF4" s="48"/>
      <c r="ZG4" s="48"/>
      <c r="ZH4" s="48"/>
      <c r="ZI4" s="48"/>
      <c r="ZJ4" s="48"/>
      <c r="ZK4" s="48"/>
      <c r="ZL4" s="48"/>
      <c r="ZM4" s="48"/>
      <c r="ZN4" s="48"/>
      <c r="ZO4" s="48"/>
      <c r="ZP4" s="48"/>
      <c r="ZQ4" s="48"/>
      <c r="ZR4" s="48"/>
      <c r="ZS4" s="48"/>
      <c r="ZT4" s="48"/>
      <c r="ZU4" s="48"/>
      <c r="ZV4" s="48"/>
      <c r="ZW4" s="48"/>
      <c r="ZX4" s="48"/>
      <c r="ZY4" s="48"/>
      <c r="ZZ4" s="48"/>
      <c r="AAA4" s="48"/>
      <c r="AAB4" s="48"/>
      <c r="AAC4" s="48"/>
      <c r="AAD4" s="48"/>
      <c r="AAE4" s="48"/>
      <c r="AAF4" s="48"/>
      <c r="AAG4" s="48"/>
      <c r="AAH4" s="48"/>
      <c r="AAI4" s="48"/>
      <c r="AAJ4" s="48"/>
      <c r="AAK4" s="48"/>
      <c r="AAL4" s="48"/>
      <c r="AAM4" s="48"/>
      <c r="AAN4" s="48"/>
      <c r="AAO4" s="48"/>
      <c r="AAP4" s="48"/>
      <c r="AAQ4" s="48"/>
      <c r="AAR4" s="48"/>
      <c r="AAS4" s="48"/>
      <c r="AAT4" s="48"/>
      <c r="AAU4" s="48"/>
      <c r="AAV4" s="48"/>
      <c r="AAW4" s="48"/>
      <c r="AAX4" s="48"/>
      <c r="AAY4" s="48"/>
      <c r="AAZ4" s="48"/>
      <c r="ABA4" s="48"/>
      <c r="ABB4" s="48"/>
      <c r="ABC4" s="48"/>
      <c r="ABD4" s="48"/>
      <c r="ABE4" s="48"/>
      <c r="ABF4" s="48"/>
      <c r="ABG4" s="48"/>
      <c r="ABH4" s="48"/>
      <c r="ABI4" s="48"/>
      <c r="ABJ4" s="48"/>
      <c r="ABK4" s="48"/>
      <c r="ABL4" s="48"/>
      <c r="ABM4" s="48"/>
      <c r="ABN4" s="48"/>
      <c r="ABO4" s="48"/>
      <c r="ABP4" s="48"/>
      <c r="ABQ4" s="48"/>
      <c r="ABR4" s="48"/>
      <c r="ABS4" s="48"/>
      <c r="ABT4" s="48"/>
      <c r="ABU4" s="48"/>
      <c r="ABV4" s="48"/>
      <c r="ABW4" s="48"/>
      <c r="ABX4" s="48"/>
      <c r="ABY4" s="48"/>
      <c r="ABZ4" s="48"/>
      <c r="ACA4" s="48"/>
      <c r="ACB4" s="48"/>
      <c r="ACC4" s="48"/>
      <c r="ACD4" s="48"/>
      <c r="ACE4" s="48"/>
      <c r="ACF4" s="48"/>
      <c r="ACG4" s="48"/>
      <c r="ACH4" s="48"/>
      <c r="ACI4" s="48"/>
      <c r="ACJ4" s="48"/>
      <c r="ACK4" s="48"/>
      <c r="ACL4" s="48"/>
      <c r="ACM4" s="48"/>
      <c r="ACN4" s="48"/>
      <c r="ACO4" s="48"/>
      <c r="ACP4" s="48"/>
      <c r="ACQ4" s="48"/>
      <c r="ACR4" s="48"/>
      <c r="ACS4" s="48"/>
      <c r="ACT4" s="48"/>
      <c r="ACU4" s="48"/>
      <c r="ACV4" s="48"/>
      <c r="ACW4" s="48"/>
      <c r="ACX4" s="48"/>
      <c r="ACY4" s="48"/>
      <c r="ACZ4" s="48"/>
      <c r="ADA4" s="48"/>
      <c r="ADB4" s="48"/>
      <c r="ADC4" s="48"/>
      <c r="ADD4" s="48"/>
      <c r="ADE4" s="48"/>
      <c r="ADF4" s="48"/>
      <c r="ADG4" s="48"/>
      <c r="ADH4" s="48"/>
      <c r="ADI4" s="48"/>
      <c r="ADJ4" s="48"/>
      <c r="ADK4" s="48"/>
      <c r="ADL4" s="48"/>
      <c r="ADM4" s="48"/>
      <c r="ADN4" s="48"/>
      <c r="ADO4" s="48"/>
      <c r="ADP4" s="48"/>
      <c r="ADQ4" s="48"/>
      <c r="ADR4" s="48"/>
      <c r="ADS4" s="48"/>
      <c r="ADT4" s="48"/>
      <c r="ADU4" s="48"/>
      <c r="ADV4" s="48"/>
      <c r="ADW4" s="48"/>
      <c r="ADX4" s="48"/>
      <c r="ADY4" s="48"/>
      <c r="ADZ4" s="48"/>
      <c r="AEA4" s="48"/>
      <c r="AEB4" s="48"/>
      <c r="AEC4" s="48"/>
      <c r="AED4" s="48"/>
      <c r="AEE4" s="48"/>
      <c r="AEF4" s="48"/>
      <c r="AEG4" s="48"/>
      <c r="AEH4" s="48"/>
      <c r="AEI4" s="48"/>
      <c r="AEJ4" s="48"/>
      <c r="AEK4" s="48"/>
      <c r="AEL4" s="48"/>
      <c r="AEM4" s="48"/>
      <c r="AEN4" s="48"/>
      <c r="AEO4" s="48"/>
      <c r="AEP4" s="48"/>
      <c r="AEQ4" s="48"/>
      <c r="AER4" s="48"/>
      <c r="AES4" s="48"/>
      <c r="AET4" s="48"/>
      <c r="AEU4" s="48"/>
      <c r="AEV4" s="48"/>
      <c r="AEW4" s="48"/>
      <c r="AEX4" s="48"/>
      <c r="AEY4" s="48"/>
      <c r="AEZ4" s="48"/>
      <c r="AFA4" s="48"/>
      <c r="AFB4" s="48"/>
      <c r="AFC4" s="48"/>
      <c r="AFD4" s="48"/>
      <c r="AFE4" s="48"/>
      <c r="AFF4" s="48"/>
      <c r="AFG4" s="48"/>
      <c r="AFH4" s="48"/>
      <c r="AFI4" s="48"/>
      <c r="AFJ4" s="48"/>
      <c r="AFK4" s="48"/>
      <c r="AFL4" s="48"/>
      <c r="AFM4" s="48"/>
      <c r="AFN4" s="48"/>
      <c r="AFO4" s="48"/>
      <c r="AFP4" s="48"/>
      <c r="AFQ4" s="48"/>
      <c r="AFR4" s="48"/>
      <c r="AFS4" s="48"/>
      <c r="AFT4" s="48"/>
      <c r="AFU4" s="48"/>
      <c r="AFV4" s="48"/>
      <c r="AFW4" s="48"/>
      <c r="AFX4" s="48"/>
      <c r="AFY4" s="48"/>
      <c r="AFZ4" s="48"/>
      <c r="AGA4" s="48"/>
      <c r="AGB4" s="48"/>
      <c r="AGC4" s="48"/>
      <c r="AGD4" s="48"/>
      <c r="AGE4" s="48"/>
      <c r="AGF4" s="48"/>
      <c r="AGG4" s="48"/>
      <c r="AGH4" s="48"/>
      <c r="AGI4" s="48"/>
      <c r="AGJ4" s="48"/>
      <c r="AGK4" s="48"/>
      <c r="AGL4" s="48"/>
      <c r="AGM4" s="48"/>
      <c r="AGN4" s="48"/>
      <c r="AGO4" s="48"/>
      <c r="AGP4" s="48"/>
      <c r="AGQ4" s="48"/>
      <c r="AGR4" s="48"/>
      <c r="AGS4" s="48"/>
      <c r="AGT4" s="48"/>
      <c r="AGU4" s="48"/>
      <c r="AGV4" s="48"/>
      <c r="AGW4" s="48"/>
      <c r="AGX4" s="48"/>
      <c r="AGY4" s="48"/>
      <c r="AGZ4" s="48"/>
      <c r="AHA4" s="48"/>
      <c r="AHB4" s="48"/>
      <c r="AHC4" s="48"/>
      <c r="AHD4" s="48"/>
      <c r="AHE4" s="48"/>
      <c r="AHF4" s="48"/>
      <c r="AHG4" s="48"/>
      <c r="AHH4" s="48"/>
      <c r="AHI4" s="48"/>
      <c r="AHJ4" s="48"/>
      <c r="AHK4" s="48"/>
      <c r="AHL4" s="48"/>
      <c r="AHM4" s="48"/>
      <c r="AHN4" s="48"/>
      <c r="AHO4" s="48"/>
      <c r="AHP4" s="48"/>
      <c r="AHQ4" s="48"/>
      <c r="AHR4" s="48"/>
      <c r="AHS4" s="48"/>
      <c r="AHT4" s="48"/>
      <c r="AHU4" s="48"/>
      <c r="AHV4" s="48"/>
      <c r="AHW4" s="48"/>
      <c r="AHX4" s="48"/>
      <c r="AHY4" s="48"/>
      <c r="AHZ4" s="48"/>
      <c r="AIA4" s="48"/>
      <c r="AIB4" s="48"/>
      <c r="AIC4" s="48"/>
      <c r="AID4" s="48"/>
      <c r="AIE4" s="48"/>
      <c r="AIF4" s="48"/>
      <c r="AIG4" s="48"/>
      <c r="AIH4" s="48"/>
      <c r="AII4" s="48"/>
      <c r="AIJ4" s="48"/>
      <c r="AIK4" s="48"/>
      <c r="AIL4" s="48"/>
      <c r="AIM4" s="48"/>
      <c r="AIN4" s="48"/>
      <c r="AIO4" s="48"/>
      <c r="AIP4" s="48"/>
      <c r="AIQ4" s="48"/>
      <c r="AIR4" s="48"/>
      <c r="AIS4" s="48"/>
      <c r="AIT4" s="48"/>
      <c r="AIU4" s="48"/>
      <c r="AIV4" s="48"/>
      <c r="AIW4" s="48"/>
      <c r="AIX4" s="48"/>
      <c r="AIY4" s="48"/>
      <c r="AIZ4" s="48"/>
      <c r="AJA4" s="48"/>
      <c r="AJB4" s="48"/>
      <c r="AJC4" s="48"/>
      <c r="AJD4" s="48"/>
      <c r="AJE4" s="48"/>
      <c r="AJF4" s="48"/>
      <c r="AJG4" s="48"/>
      <c r="AJH4" s="48"/>
      <c r="AJI4" s="48"/>
      <c r="AJJ4" s="48"/>
      <c r="AJK4" s="48"/>
      <c r="AJL4" s="48"/>
      <c r="AJM4" s="48"/>
      <c r="AJN4" s="48"/>
      <c r="AJO4" s="48"/>
      <c r="AJP4" s="48"/>
      <c r="AJQ4" s="48"/>
      <c r="AJR4" s="48"/>
      <c r="AJS4" s="48"/>
      <c r="AJT4" s="48"/>
      <c r="AJU4" s="48"/>
      <c r="AJV4" s="48"/>
      <c r="AJW4" s="48"/>
      <c r="AJX4" s="48"/>
      <c r="AJY4" s="48"/>
      <c r="AJZ4" s="4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OpenNewSubmissionForm">
                <anchor moveWithCells="1" sizeWithCells="1">
                  <from>
                    <xdr:col>2</xdr:col>
                    <xdr:colOff>1295400</xdr:colOff>
                    <xdr:row>0</xdr:row>
                    <xdr:rowOff>175260</xdr:rowOff>
                  </from>
                  <to>
                    <xdr:col>3</xdr:col>
                    <xdr:colOff>685800</xdr:colOff>
                    <xdr:row>0</xdr:row>
                    <xdr:rowOff>563880</xdr:rowOff>
                  </to>
                </anchor>
              </controlPr>
            </control>
          </mc:Choice>
        </mc:AlternateContent>
        <mc:AlternateContent xmlns:mc="http://schemas.openxmlformats.org/markup-compatibility/2006">
          <mc:Choice Requires="x14">
            <control shapeId="2050" r:id="rId5" name="Button 2">
              <controlPr defaultSize="0" print="0" autoFill="0" autoPict="0" macro="[0]!ThisWorkbook.EditExistingSubmissionForm">
                <anchor moveWithCells="1" sizeWithCells="1">
                  <from>
                    <xdr:col>3</xdr:col>
                    <xdr:colOff>746760</xdr:colOff>
                    <xdr:row>0</xdr:row>
                    <xdr:rowOff>175260</xdr:rowOff>
                  </from>
                  <to>
                    <xdr:col>4</xdr:col>
                    <xdr:colOff>137160</xdr:colOff>
                    <xdr:row>0</xdr:row>
                    <xdr:rowOff>563880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0.249977111117893"/>
  </sheetPr>
  <dimension ref="A1:AJZ5"/>
  <sheetViews>
    <sheetView workbookViewId="0">
      <selection sqref="A1:XFD4"/>
    </sheetView>
  </sheetViews>
  <sheetFormatPr defaultColWidth="92" defaultRowHeight="14.4" x14ac:dyDescent="0.3"/>
  <cols>
    <col min="1" max="1" width="12" style="3" customWidth="1"/>
    <col min="2" max="2" width="15.5546875" style="3" bestFit="1" customWidth="1"/>
    <col min="3" max="3" width="13.44140625" style="3" bestFit="1" customWidth="1"/>
    <col min="4" max="4" width="21.88671875" style="3" bestFit="1" customWidth="1"/>
    <col min="5" max="5" width="25.44140625" style="3" bestFit="1" customWidth="1"/>
    <col min="6" max="6" width="12.109375" style="3" bestFit="1" customWidth="1"/>
    <col min="7" max="7" width="11.33203125" style="3" bestFit="1" customWidth="1"/>
    <col min="8" max="8" width="10.5546875" style="3" bestFit="1" customWidth="1"/>
    <col min="9" max="9" width="21.88671875" style="3" bestFit="1" customWidth="1"/>
    <col min="10" max="10" width="17.5546875" style="3" bestFit="1" customWidth="1"/>
    <col min="11" max="11" width="16" style="3" bestFit="1" customWidth="1"/>
    <col min="12" max="12" width="17.5546875" style="3" bestFit="1" customWidth="1"/>
    <col min="13" max="13" width="31" style="3" bestFit="1" customWidth="1"/>
    <col min="14" max="14" width="9.44140625" style="3" bestFit="1" customWidth="1"/>
    <col min="15" max="15" width="20.33203125" style="3" bestFit="1" customWidth="1"/>
    <col min="16" max="16" width="8.33203125" style="3" bestFit="1" customWidth="1"/>
    <col min="17" max="17" width="7.33203125" style="3" bestFit="1" customWidth="1"/>
    <col min="18" max="18" width="23.109375" style="3" bestFit="1" customWidth="1"/>
    <col min="19" max="19" width="14.88671875" style="3" bestFit="1" customWidth="1"/>
    <col min="20" max="20" width="10.5546875" style="3" bestFit="1" customWidth="1"/>
    <col min="21" max="21" width="14.88671875" style="3" bestFit="1" customWidth="1"/>
    <col min="22" max="22" width="20.88671875" style="3" bestFit="1" customWidth="1"/>
    <col min="23" max="23" width="17.109375" style="3" bestFit="1" customWidth="1"/>
    <col min="24" max="24" width="18.5546875" style="3" bestFit="1" customWidth="1"/>
    <col min="25" max="25" width="18.44140625" style="3" bestFit="1" customWidth="1"/>
    <col min="26" max="26" width="16.44140625" style="3" bestFit="1" customWidth="1"/>
    <col min="27" max="27" width="17.5546875" style="3" bestFit="1" customWidth="1"/>
    <col min="28" max="28" width="20.109375" style="3" bestFit="1" customWidth="1"/>
    <col min="29" max="29" width="25.5546875" style="3" bestFit="1" customWidth="1"/>
    <col min="30" max="30" width="15.44140625" style="3" bestFit="1" customWidth="1"/>
    <col min="31" max="31" width="25.33203125" style="3" bestFit="1" customWidth="1"/>
    <col min="32" max="32" width="15.6640625" style="3" bestFit="1" customWidth="1"/>
    <col min="33" max="33" width="25.5546875" style="3" bestFit="1" customWidth="1"/>
    <col min="34" max="34" width="18.109375" style="3" bestFit="1" customWidth="1"/>
    <col min="35" max="35" width="28.5546875" style="3" bestFit="1" customWidth="1"/>
    <col min="36" max="43" width="9.44140625" style="3" bestFit="1" customWidth="1"/>
    <col min="44" max="44" width="10.44140625" style="3" bestFit="1" customWidth="1"/>
    <col min="45" max="53" width="12.33203125" style="3" bestFit="1" customWidth="1"/>
    <col min="54" max="54" width="13.33203125" style="3" bestFit="1" customWidth="1"/>
    <col min="55" max="63" width="8.88671875" style="3" bestFit="1" customWidth="1"/>
    <col min="64" max="64" width="9.88671875" style="3" bestFit="1" customWidth="1"/>
    <col min="65" max="65" width="27.109375" style="3" bestFit="1" customWidth="1"/>
    <col min="66" max="73" width="8.44140625" style="3" bestFit="1" customWidth="1"/>
    <col min="74" max="74" width="9.44140625" style="3" bestFit="1" customWidth="1"/>
    <col min="75" max="75" width="23.5546875" style="3" bestFit="1" customWidth="1"/>
    <col min="76" max="84" width="26.33203125" style="3" bestFit="1" customWidth="1"/>
    <col min="85" max="85" width="30.88671875" style="3" bestFit="1" customWidth="1"/>
    <col min="86" max="86" width="34.109375" style="3" bestFit="1" customWidth="1"/>
    <col min="87" max="87" width="17.33203125" style="3" bestFit="1" customWidth="1"/>
    <col min="88" max="88" width="27.109375" style="3" bestFit="1" customWidth="1"/>
    <col min="89" max="89" width="20.44140625" style="3" bestFit="1" customWidth="1"/>
    <col min="90" max="90" width="17.44140625" style="3" bestFit="1" customWidth="1"/>
    <col min="91" max="91" width="35.44140625" style="3" bestFit="1" customWidth="1"/>
    <col min="92" max="92" width="18" style="3" bestFit="1" customWidth="1"/>
    <col min="93" max="93" width="27.109375" style="3" bestFit="1" customWidth="1"/>
    <col min="94" max="94" width="18.44140625" style="3" bestFit="1" customWidth="1"/>
    <col min="95" max="95" width="27" style="3" bestFit="1" customWidth="1"/>
    <col min="96" max="96" width="22.5546875" style="3" bestFit="1" customWidth="1"/>
    <col min="97" max="97" width="25.88671875" style="3" bestFit="1" customWidth="1"/>
    <col min="98" max="98" width="13.5546875" style="3" bestFit="1" customWidth="1"/>
    <col min="99" max="99" width="17.44140625" style="3" bestFit="1" customWidth="1"/>
    <col min="100" max="100" width="22.5546875" style="3" bestFit="1" customWidth="1"/>
    <col min="101" max="101" width="54.44140625" style="3" bestFit="1" customWidth="1"/>
    <col min="102" max="102" width="20.44140625" style="3" bestFit="1" customWidth="1"/>
    <col min="103" max="103" width="27.5546875" style="3" bestFit="1" customWidth="1"/>
    <col min="104" max="104" width="20.44140625" style="3" bestFit="1" customWidth="1"/>
    <col min="105" max="105" width="9.33203125" style="3" bestFit="1" customWidth="1"/>
    <col min="106" max="106" width="14" style="3" bestFit="1" customWidth="1"/>
    <col min="107" max="108" width="31.6640625" style="3" bestFit="1" customWidth="1"/>
    <col min="109" max="109" width="19.5546875" style="3" bestFit="1" customWidth="1"/>
    <col min="110" max="110" width="10.5546875" style="3" bestFit="1" customWidth="1"/>
    <col min="111" max="16384" width="92" style="3"/>
  </cols>
  <sheetData>
    <row r="1" spans="1:962" s="2" customFormat="1" ht="58.5" customHeight="1" thickBot="1" x14ac:dyDescent="0.35">
      <c r="A1" s="4" t="s">
        <v>102</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row>
    <row r="2" spans="1:962" s="10" customFormat="1" ht="30" customHeight="1" thickBot="1" x14ac:dyDescent="0.35">
      <c r="A2" s="5" t="s">
        <v>104</v>
      </c>
      <c r="B2" s="6"/>
      <c r="C2" s="6"/>
      <c r="D2" s="6"/>
      <c r="E2" s="6"/>
      <c r="F2" s="6"/>
      <c r="G2" s="6"/>
      <c r="H2" s="6"/>
      <c r="I2" s="6"/>
      <c r="J2" s="6"/>
      <c r="K2" s="6"/>
      <c r="L2" s="6"/>
      <c r="M2" s="6"/>
      <c r="N2" s="6"/>
      <c r="O2" s="6"/>
      <c r="P2" s="6"/>
      <c r="Q2" s="6"/>
      <c r="R2" s="6"/>
      <c r="S2" s="6"/>
      <c r="T2" s="6"/>
      <c r="U2" s="6"/>
      <c r="V2" s="6"/>
      <c r="W2" s="7"/>
      <c r="X2" s="8" t="s">
        <v>105</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5" t="s">
        <v>106</v>
      </c>
      <c r="CT2" s="6"/>
      <c r="CU2" s="6"/>
      <c r="CV2" s="6"/>
      <c r="CW2" s="6"/>
      <c r="CX2" s="6"/>
      <c r="CY2" s="6"/>
      <c r="CZ2" s="6"/>
      <c r="DA2" s="6"/>
      <c r="DB2" s="6"/>
      <c r="DC2" s="6"/>
      <c r="DD2" s="6"/>
      <c r="DE2" s="6"/>
      <c r="DF2" s="9"/>
    </row>
    <row r="3" spans="1:962" s="23" customFormat="1" ht="35.25" customHeight="1" thickBot="1" x14ac:dyDescent="0.35">
      <c r="A3" s="11" t="s">
        <v>4</v>
      </c>
      <c r="B3" s="12"/>
      <c r="C3" s="12"/>
      <c r="D3" s="12"/>
      <c r="E3" s="12"/>
      <c r="F3" s="12"/>
      <c r="G3" s="12"/>
      <c r="H3" s="13"/>
      <c r="I3" s="14" t="s">
        <v>5</v>
      </c>
      <c r="J3" s="14"/>
      <c r="K3" s="14"/>
      <c r="L3" s="15"/>
      <c r="M3" s="16" t="s">
        <v>6</v>
      </c>
      <c r="N3" s="14"/>
      <c r="O3" s="14"/>
      <c r="P3" s="14"/>
      <c r="Q3" s="15"/>
      <c r="R3" s="16" t="s">
        <v>7</v>
      </c>
      <c r="S3" s="14"/>
      <c r="T3" s="14"/>
      <c r="U3" s="14"/>
      <c r="V3" s="14"/>
      <c r="W3" s="15"/>
      <c r="X3" s="17" t="s">
        <v>8</v>
      </c>
      <c r="Y3" s="18"/>
      <c r="Z3" s="19"/>
      <c r="AA3" s="17" t="s">
        <v>9</v>
      </c>
      <c r="AB3" s="19"/>
      <c r="AC3" s="17" t="s">
        <v>10</v>
      </c>
      <c r="AD3" s="18"/>
      <c r="AE3" s="18"/>
      <c r="AF3" s="18"/>
      <c r="AG3" s="18"/>
      <c r="AH3" s="19"/>
      <c r="AI3" s="17" t="s">
        <v>100</v>
      </c>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9"/>
      <c r="BM3" s="17" t="s">
        <v>101</v>
      </c>
      <c r="BN3" s="18"/>
      <c r="BO3" s="18"/>
      <c r="BP3" s="18"/>
      <c r="BQ3" s="18"/>
      <c r="BR3" s="18"/>
      <c r="BS3" s="18"/>
      <c r="BT3" s="18"/>
      <c r="BU3" s="18"/>
      <c r="BV3" s="18"/>
      <c r="BW3" s="18"/>
      <c r="BX3" s="18"/>
      <c r="BY3" s="18"/>
      <c r="BZ3" s="18"/>
      <c r="CA3" s="18"/>
      <c r="CB3" s="18"/>
      <c r="CC3" s="18"/>
      <c r="CD3" s="18"/>
      <c r="CE3" s="18"/>
      <c r="CF3" s="19"/>
      <c r="CG3" s="17" t="s">
        <v>11</v>
      </c>
      <c r="CH3" s="18"/>
      <c r="CI3" s="18"/>
      <c r="CJ3" s="18"/>
      <c r="CK3" s="18"/>
      <c r="CL3" s="19"/>
      <c r="CM3" s="17" t="s">
        <v>12</v>
      </c>
      <c r="CN3" s="18"/>
      <c r="CO3" s="18"/>
      <c r="CP3" s="18"/>
      <c r="CQ3" s="18"/>
      <c r="CR3" s="19"/>
      <c r="CS3" s="16" t="s">
        <v>13</v>
      </c>
      <c r="CT3" s="14"/>
      <c r="CU3" s="14"/>
      <c r="CV3" s="14"/>
      <c r="CW3" s="14"/>
      <c r="CX3" s="14"/>
      <c r="CY3" s="14"/>
      <c r="CZ3" s="14"/>
      <c r="DA3" s="14"/>
      <c r="DB3" s="14"/>
      <c r="DC3" s="20" t="s">
        <v>14</v>
      </c>
      <c r="DD3" s="21"/>
      <c r="DE3" s="21"/>
      <c r="DF3" s="22"/>
    </row>
    <row r="4" spans="1:962" s="30" customFormat="1" ht="15" thickBot="1" x14ac:dyDescent="0.35">
      <c r="A4" s="24" t="s">
        <v>15</v>
      </c>
      <c r="B4" s="24" t="s">
        <v>16</v>
      </c>
      <c r="C4" s="24" t="s">
        <v>17</v>
      </c>
      <c r="D4" s="25" t="s">
        <v>18</v>
      </c>
      <c r="E4" s="25" t="s">
        <v>19</v>
      </c>
      <c r="F4" s="24" t="s">
        <v>20</v>
      </c>
      <c r="G4" s="24" t="s">
        <v>21</v>
      </c>
      <c r="H4" s="24" t="s">
        <v>22</v>
      </c>
      <c r="I4" s="26" t="s">
        <v>23</v>
      </c>
      <c r="J4" s="27" t="s">
        <v>24</v>
      </c>
      <c r="K4" s="27" t="s">
        <v>25</v>
      </c>
      <c r="L4" s="26" t="s">
        <v>26</v>
      </c>
      <c r="M4" s="26" t="s">
        <v>27</v>
      </c>
      <c r="N4" s="27" t="s">
        <v>28</v>
      </c>
      <c r="O4" s="27" t="s">
        <v>29</v>
      </c>
      <c r="P4" s="27" t="s">
        <v>30</v>
      </c>
      <c r="Q4" s="27" t="s">
        <v>31</v>
      </c>
      <c r="R4" s="27" t="s">
        <v>32</v>
      </c>
      <c r="S4" s="27" t="s">
        <v>33</v>
      </c>
      <c r="T4" s="27" t="s">
        <v>34</v>
      </c>
      <c r="U4" s="27" t="s">
        <v>35</v>
      </c>
      <c r="V4" s="27" t="s">
        <v>36</v>
      </c>
      <c r="W4" s="27" t="s">
        <v>37</v>
      </c>
      <c r="X4" s="27" t="s">
        <v>38</v>
      </c>
      <c r="Y4" s="27" t="s">
        <v>39</v>
      </c>
      <c r="Z4" s="27" t="s">
        <v>40</v>
      </c>
      <c r="AA4" s="27" t="s">
        <v>3</v>
      </c>
      <c r="AB4" s="27" t="s">
        <v>41</v>
      </c>
      <c r="AC4" s="26" t="s">
        <v>103</v>
      </c>
      <c r="AD4" s="26" t="s">
        <v>0</v>
      </c>
      <c r="AE4" s="26" t="s">
        <v>108</v>
      </c>
      <c r="AF4" s="26" t="s">
        <v>109</v>
      </c>
      <c r="AG4" s="26" t="s">
        <v>110</v>
      </c>
      <c r="AH4" s="26" t="s">
        <v>111</v>
      </c>
      <c r="AI4" s="27" t="s">
        <v>43</v>
      </c>
      <c r="AJ4" s="27" t="s">
        <v>44</v>
      </c>
      <c r="AK4" s="27" t="s">
        <v>45</v>
      </c>
      <c r="AL4" s="27" t="s">
        <v>46</v>
      </c>
      <c r="AM4" s="27" t="s">
        <v>47</v>
      </c>
      <c r="AN4" s="27" t="s">
        <v>48</v>
      </c>
      <c r="AO4" s="27" t="s">
        <v>49</v>
      </c>
      <c r="AP4" s="27" t="s">
        <v>50</v>
      </c>
      <c r="AQ4" s="27" t="s">
        <v>51</v>
      </c>
      <c r="AR4" s="27" t="s">
        <v>52</v>
      </c>
      <c r="AS4" s="27" t="s">
        <v>53</v>
      </c>
      <c r="AT4" s="27" t="s">
        <v>54</v>
      </c>
      <c r="AU4" s="27" t="s">
        <v>55</v>
      </c>
      <c r="AV4" s="27" t="s">
        <v>56</v>
      </c>
      <c r="AW4" s="27" t="s">
        <v>57</v>
      </c>
      <c r="AX4" s="27" t="s">
        <v>58</v>
      </c>
      <c r="AY4" s="27" t="s">
        <v>59</v>
      </c>
      <c r="AZ4" s="27" t="s">
        <v>60</v>
      </c>
      <c r="BA4" s="27" t="s">
        <v>61</v>
      </c>
      <c r="BB4" s="27" t="s">
        <v>62</v>
      </c>
      <c r="BC4" s="27" t="s">
        <v>63</v>
      </c>
      <c r="BD4" s="27" t="s">
        <v>64</v>
      </c>
      <c r="BE4" s="27" t="s">
        <v>65</v>
      </c>
      <c r="BF4" s="27" t="s">
        <v>66</v>
      </c>
      <c r="BG4" s="27" t="s">
        <v>67</v>
      </c>
      <c r="BH4" s="27" t="s">
        <v>68</v>
      </c>
      <c r="BI4" s="27" t="s">
        <v>69</v>
      </c>
      <c r="BJ4" s="27" t="s">
        <v>70</v>
      </c>
      <c r="BK4" s="27" t="s">
        <v>71</v>
      </c>
      <c r="BL4" s="27" t="s">
        <v>72</v>
      </c>
      <c r="BM4" s="27" t="s">
        <v>73</v>
      </c>
      <c r="BN4" s="27" t="s">
        <v>91</v>
      </c>
      <c r="BO4" s="27" t="s">
        <v>92</v>
      </c>
      <c r="BP4" s="27" t="s">
        <v>93</v>
      </c>
      <c r="BQ4" s="27" t="s">
        <v>94</v>
      </c>
      <c r="BR4" s="27" t="s">
        <v>95</v>
      </c>
      <c r="BS4" s="27" t="s">
        <v>96</v>
      </c>
      <c r="BT4" s="27" t="s">
        <v>97</v>
      </c>
      <c r="BU4" s="27" t="s">
        <v>98</v>
      </c>
      <c r="BV4" s="27" t="s">
        <v>99</v>
      </c>
      <c r="BW4" s="28" t="s">
        <v>112</v>
      </c>
      <c r="BX4" s="28" t="s">
        <v>116</v>
      </c>
      <c r="BY4" s="28" t="s">
        <v>117</v>
      </c>
      <c r="BZ4" s="28" t="s">
        <v>118</v>
      </c>
      <c r="CA4" s="28" t="s">
        <v>119</v>
      </c>
      <c r="CB4" s="28" t="s">
        <v>120</v>
      </c>
      <c r="CC4" s="28" t="s">
        <v>121</v>
      </c>
      <c r="CD4" s="28" t="s">
        <v>122</v>
      </c>
      <c r="CE4" s="28" t="s">
        <v>123</v>
      </c>
      <c r="CF4" s="28" t="s">
        <v>124</v>
      </c>
      <c r="CG4" s="26" t="s">
        <v>74</v>
      </c>
      <c r="CH4" s="26" t="s">
        <v>75</v>
      </c>
      <c r="CI4" s="26" t="s">
        <v>76</v>
      </c>
      <c r="CJ4" s="26" t="s">
        <v>77</v>
      </c>
      <c r="CK4" s="26" t="s">
        <v>78</v>
      </c>
      <c r="CL4" s="26" t="s">
        <v>79</v>
      </c>
      <c r="CM4" s="26" t="s">
        <v>80</v>
      </c>
      <c r="CN4" s="26" t="s">
        <v>81</v>
      </c>
      <c r="CO4" s="26" t="s">
        <v>82</v>
      </c>
      <c r="CP4" s="26" t="s">
        <v>83</v>
      </c>
      <c r="CQ4" s="26" t="s">
        <v>84</v>
      </c>
      <c r="CR4" s="26" t="s">
        <v>85</v>
      </c>
      <c r="CS4" s="26" t="s">
        <v>86</v>
      </c>
      <c r="CT4" s="26" t="s">
        <v>113</v>
      </c>
      <c r="CU4" s="26" t="s">
        <v>125</v>
      </c>
      <c r="CV4" s="27" t="s">
        <v>2</v>
      </c>
      <c r="CW4" s="27" t="s">
        <v>107</v>
      </c>
      <c r="CX4" s="26" t="s">
        <v>114</v>
      </c>
      <c r="CY4" s="25" t="s">
        <v>42</v>
      </c>
      <c r="CZ4" s="25" t="s">
        <v>1</v>
      </c>
      <c r="DA4" s="25" t="s">
        <v>87</v>
      </c>
      <c r="DB4" s="25" t="s">
        <v>115</v>
      </c>
      <c r="DC4" s="25" t="s">
        <v>88</v>
      </c>
      <c r="DD4" s="25" t="s">
        <v>89</v>
      </c>
      <c r="DE4" s="29" t="s">
        <v>90</v>
      </c>
      <c r="DF4" s="25" t="s">
        <v>130</v>
      </c>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c r="RA4" s="27"/>
      <c r="RB4" s="27"/>
      <c r="RC4" s="27"/>
      <c r="RD4" s="27"/>
      <c r="RE4" s="27"/>
      <c r="RF4" s="27"/>
      <c r="RG4" s="27"/>
      <c r="RH4" s="27"/>
      <c r="RI4" s="27"/>
      <c r="RJ4" s="27"/>
      <c r="RK4" s="27"/>
      <c r="RL4" s="27"/>
      <c r="RM4" s="27"/>
      <c r="RN4" s="27"/>
      <c r="RO4" s="27"/>
      <c r="RP4" s="27"/>
      <c r="RQ4" s="27"/>
      <c r="RR4" s="27"/>
      <c r="RS4" s="27"/>
      <c r="RT4" s="27"/>
      <c r="RU4" s="27"/>
      <c r="RV4" s="27"/>
      <c r="RW4" s="27"/>
      <c r="RX4" s="27"/>
      <c r="RY4" s="27"/>
      <c r="RZ4" s="27"/>
      <c r="SA4" s="27"/>
      <c r="SB4" s="27"/>
      <c r="SC4" s="27"/>
      <c r="SD4" s="27"/>
      <c r="SE4" s="27"/>
      <c r="SF4" s="27"/>
      <c r="SG4" s="27"/>
      <c r="SH4" s="27"/>
      <c r="SI4" s="27"/>
      <c r="SJ4" s="27"/>
      <c r="SK4" s="27"/>
      <c r="SL4" s="27"/>
      <c r="SM4" s="27"/>
      <c r="SN4" s="27"/>
      <c r="SO4" s="27"/>
      <c r="SP4" s="27"/>
      <c r="SQ4" s="27"/>
      <c r="SR4" s="27"/>
      <c r="SS4" s="27"/>
      <c r="ST4" s="27"/>
      <c r="SU4" s="27"/>
      <c r="SV4" s="27"/>
      <c r="SW4" s="27"/>
      <c r="SX4" s="27"/>
      <c r="SY4" s="27"/>
      <c r="SZ4" s="27"/>
      <c r="TA4" s="27"/>
      <c r="TB4" s="27"/>
      <c r="TC4" s="27"/>
      <c r="TD4" s="27"/>
      <c r="TE4" s="27"/>
      <c r="TF4" s="27"/>
      <c r="TG4" s="27"/>
      <c r="TH4" s="27"/>
      <c r="TI4" s="27"/>
      <c r="TJ4" s="27"/>
      <c r="TK4" s="27"/>
      <c r="TL4" s="27"/>
      <c r="TM4" s="27"/>
      <c r="TN4" s="27"/>
      <c r="TO4" s="27"/>
      <c r="TP4" s="27"/>
      <c r="TQ4" s="27"/>
      <c r="TR4" s="27"/>
      <c r="TS4" s="27"/>
      <c r="TT4" s="27"/>
      <c r="TU4" s="27"/>
      <c r="TV4" s="27"/>
      <c r="TW4" s="27"/>
      <c r="TX4" s="27"/>
      <c r="TY4" s="27"/>
      <c r="TZ4" s="27"/>
      <c r="UA4" s="27"/>
      <c r="UB4" s="27"/>
      <c r="UC4" s="27"/>
      <c r="UD4" s="27"/>
      <c r="UE4" s="27"/>
      <c r="UF4" s="27"/>
      <c r="UG4" s="27"/>
      <c r="UH4" s="27"/>
      <c r="UI4" s="27"/>
      <c r="UJ4" s="27"/>
      <c r="UK4" s="27"/>
      <c r="UL4" s="27"/>
      <c r="UM4" s="27"/>
      <c r="UN4" s="27"/>
      <c r="UO4" s="27"/>
      <c r="UP4" s="27"/>
      <c r="UQ4" s="27"/>
      <c r="UR4" s="27"/>
      <c r="US4" s="27"/>
      <c r="UT4" s="27"/>
      <c r="UU4" s="27"/>
      <c r="UV4" s="27"/>
      <c r="UW4" s="27"/>
      <c r="UX4" s="27"/>
      <c r="UY4" s="27"/>
      <c r="UZ4" s="27"/>
      <c r="VA4" s="27"/>
      <c r="VB4" s="27"/>
      <c r="VC4" s="27"/>
      <c r="VD4" s="27"/>
      <c r="VE4" s="27"/>
      <c r="VF4" s="27"/>
      <c r="VG4" s="27"/>
      <c r="VH4" s="27"/>
      <c r="VI4" s="27"/>
      <c r="VJ4" s="27"/>
      <c r="VK4" s="27"/>
      <c r="VL4" s="27"/>
      <c r="VM4" s="27"/>
      <c r="VN4" s="27"/>
      <c r="VO4" s="27"/>
      <c r="VP4" s="27"/>
      <c r="VQ4" s="27"/>
      <c r="VR4" s="27"/>
      <c r="VS4" s="27"/>
      <c r="VT4" s="27"/>
      <c r="VU4" s="27"/>
      <c r="VV4" s="27"/>
      <c r="VW4" s="27"/>
      <c r="VX4" s="27"/>
      <c r="VY4" s="27"/>
      <c r="VZ4" s="27"/>
      <c r="WA4" s="27"/>
      <c r="WB4" s="27"/>
      <c r="WC4" s="27"/>
      <c r="WD4" s="27"/>
      <c r="WE4" s="27"/>
      <c r="WF4" s="27"/>
      <c r="WG4" s="27"/>
      <c r="WH4" s="27"/>
      <c r="WI4" s="27"/>
      <c r="WJ4" s="27"/>
      <c r="WK4" s="27"/>
      <c r="WL4" s="27"/>
      <c r="WM4" s="27"/>
      <c r="WN4" s="27"/>
      <c r="WO4" s="27"/>
      <c r="WP4" s="27"/>
      <c r="WQ4" s="27"/>
      <c r="WR4" s="27"/>
      <c r="WS4" s="27"/>
      <c r="WT4" s="27"/>
      <c r="WU4" s="27"/>
      <c r="WV4" s="27"/>
      <c r="WW4" s="27"/>
      <c r="WX4" s="27"/>
      <c r="WY4" s="27"/>
      <c r="WZ4" s="27"/>
      <c r="XA4" s="27"/>
      <c r="XB4" s="27"/>
      <c r="XC4" s="27"/>
      <c r="XD4" s="27"/>
      <c r="XE4" s="27"/>
      <c r="XF4" s="27"/>
      <c r="XG4" s="27"/>
      <c r="XH4" s="27"/>
      <c r="XI4" s="27"/>
      <c r="XJ4" s="27"/>
      <c r="XK4" s="27"/>
      <c r="XL4" s="27"/>
      <c r="XM4" s="27"/>
      <c r="XN4" s="27"/>
      <c r="XO4" s="27"/>
      <c r="XP4" s="27"/>
      <c r="XQ4" s="27"/>
      <c r="XR4" s="27"/>
      <c r="XS4" s="27"/>
      <c r="XT4" s="27"/>
      <c r="XU4" s="27"/>
      <c r="XV4" s="27"/>
      <c r="XW4" s="27"/>
      <c r="XX4" s="27"/>
      <c r="XY4" s="27"/>
      <c r="XZ4" s="27"/>
      <c r="YA4" s="27"/>
      <c r="YB4" s="27"/>
      <c r="YC4" s="27"/>
      <c r="YD4" s="27"/>
      <c r="YE4" s="27"/>
      <c r="YF4" s="27"/>
      <c r="YG4" s="27"/>
      <c r="YH4" s="27"/>
      <c r="YI4" s="27"/>
      <c r="YJ4" s="27"/>
      <c r="YK4" s="27"/>
      <c r="YL4" s="27"/>
      <c r="YM4" s="27"/>
      <c r="YN4" s="27"/>
      <c r="YO4" s="27"/>
      <c r="YP4" s="27"/>
      <c r="YQ4" s="27"/>
      <c r="YR4" s="27"/>
      <c r="YS4" s="27"/>
      <c r="YT4" s="27"/>
      <c r="YU4" s="27"/>
      <c r="YV4" s="27"/>
      <c r="YW4" s="27"/>
      <c r="YX4" s="27"/>
      <c r="YY4" s="27"/>
      <c r="YZ4" s="27"/>
      <c r="ZA4" s="27"/>
      <c r="ZB4" s="27"/>
      <c r="ZC4" s="27"/>
      <c r="ZD4" s="27"/>
      <c r="ZE4" s="27"/>
      <c r="ZF4" s="27"/>
      <c r="ZG4" s="27"/>
      <c r="ZH4" s="27"/>
      <c r="ZI4" s="27"/>
      <c r="ZJ4" s="27"/>
      <c r="ZK4" s="27"/>
      <c r="ZL4" s="27"/>
      <c r="ZM4" s="27"/>
      <c r="ZN4" s="27"/>
      <c r="ZO4" s="27"/>
      <c r="ZP4" s="27"/>
      <c r="ZQ4" s="27"/>
      <c r="ZR4" s="27"/>
      <c r="ZS4" s="27"/>
      <c r="ZT4" s="27"/>
      <c r="ZU4" s="27"/>
      <c r="ZV4" s="27"/>
      <c r="ZW4" s="27"/>
      <c r="ZX4" s="27"/>
      <c r="ZY4" s="27"/>
      <c r="ZZ4" s="27"/>
      <c r="AAA4" s="27"/>
      <c r="AAB4" s="27"/>
      <c r="AAC4" s="27"/>
      <c r="AAD4" s="27"/>
      <c r="AAE4" s="27"/>
      <c r="AAF4" s="27"/>
      <c r="AAG4" s="27"/>
      <c r="AAH4" s="27"/>
      <c r="AAI4" s="27"/>
      <c r="AAJ4" s="27"/>
      <c r="AAK4" s="27"/>
      <c r="AAL4" s="27"/>
      <c r="AAM4" s="27"/>
      <c r="AAN4" s="27"/>
      <c r="AAO4" s="27"/>
      <c r="AAP4" s="27"/>
      <c r="AAQ4" s="27"/>
      <c r="AAR4" s="27"/>
      <c r="AAS4" s="27"/>
      <c r="AAT4" s="27"/>
      <c r="AAU4" s="27"/>
      <c r="AAV4" s="27"/>
      <c r="AAW4" s="27"/>
      <c r="AAX4" s="27"/>
      <c r="AAY4" s="27"/>
      <c r="AAZ4" s="27"/>
      <c r="ABA4" s="27"/>
      <c r="ABB4" s="27"/>
      <c r="ABC4" s="27"/>
      <c r="ABD4" s="27"/>
      <c r="ABE4" s="27"/>
      <c r="ABF4" s="27"/>
      <c r="ABG4" s="27"/>
      <c r="ABH4" s="27"/>
      <c r="ABI4" s="27"/>
      <c r="ABJ4" s="27"/>
      <c r="ABK4" s="27"/>
      <c r="ABL4" s="27"/>
      <c r="ABM4" s="27"/>
      <c r="ABN4" s="27"/>
      <c r="ABO4" s="27"/>
      <c r="ABP4" s="27"/>
      <c r="ABQ4" s="27"/>
      <c r="ABR4" s="27"/>
      <c r="ABS4" s="27"/>
      <c r="ABT4" s="27"/>
      <c r="ABU4" s="27"/>
      <c r="ABV4" s="27"/>
      <c r="ABW4" s="27"/>
      <c r="ABX4" s="27"/>
      <c r="ABY4" s="27"/>
      <c r="ABZ4" s="27"/>
      <c r="ACA4" s="27"/>
      <c r="ACB4" s="27"/>
      <c r="ACC4" s="27"/>
      <c r="ACD4" s="27"/>
      <c r="ACE4" s="27"/>
      <c r="ACF4" s="27"/>
      <c r="ACG4" s="27"/>
      <c r="ACH4" s="27"/>
      <c r="ACI4" s="27"/>
      <c r="ACJ4" s="27"/>
      <c r="ACK4" s="27"/>
      <c r="ACL4" s="27"/>
      <c r="ACM4" s="27"/>
      <c r="ACN4" s="27"/>
      <c r="ACO4" s="27"/>
      <c r="ACP4" s="27"/>
      <c r="ACQ4" s="27"/>
      <c r="ACR4" s="27"/>
      <c r="ACS4" s="27"/>
      <c r="ACT4" s="27"/>
      <c r="ACU4" s="27"/>
      <c r="ACV4" s="27"/>
      <c r="ACW4" s="27"/>
      <c r="ACX4" s="27"/>
      <c r="ACY4" s="27"/>
      <c r="ACZ4" s="27"/>
      <c r="ADA4" s="27"/>
      <c r="ADB4" s="27"/>
      <c r="ADC4" s="27"/>
      <c r="ADD4" s="27"/>
      <c r="ADE4" s="27"/>
      <c r="ADF4" s="27"/>
      <c r="ADG4" s="27"/>
      <c r="ADH4" s="27"/>
      <c r="ADI4" s="27"/>
      <c r="ADJ4" s="27"/>
      <c r="ADK4" s="27"/>
      <c r="ADL4" s="27"/>
      <c r="ADM4" s="27"/>
      <c r="ADN4" s="27"/>
      <c r="ADO4" s="27"/>
      <c r="ADP4" s="27"/>
      <c r="ADQ4" s="27"/>
      <c r="ADR4" s="27"/>
      <c r="ADS4" s="27"/>
      <c r="ADT4" s="27"/>
      <c r="ADU4" s="27"/>
      <c r="ADV4" s="27"/>
      <c r="ADW4" s="27"/>
      <c r="ADX4" s="27"/>
      <c r="ADY4" s="27"/>
      <c r="ADZ4" s="27"/>
      <c r="AEA4" s="27"/>
      <c r="AEB4" s="27"/>
      <c r="AEC4" s="27"/>
      <c r="AED4" s="27"/>
      <c r="AEE4" s="27"/>
      <c r="AEF4" s="27"/>
      <c r="AEG4" s="27"/>
      <c r="AEH4" s="27"/>
      <c r="AEI4" s="27"/>
      <c r="AEJ4" s="27"/>
      <c r="AEK4" s="27"/>
      <c r="AEL4" s="27"/>
      <c r="AEM4" s="27"/>
      <c r="AEN4" s="27"/>
      <c r="AEO4" s="27"/>
      <c r="AEP4" s="27"/>
      <c r="AEQ4" s="27"/>
      <c r="AER4" s="27"/>
      <c r="AES4" s="27"/>
      <c r="AET4" s="27"/>
      <c r="AEU4" s="27"/>
      <c r="AEV4" s="27"/>
      <c r="AEW4" s="27"/>
      <c r="AEX4" s="27"/>
      <c r="AEY4" s="27"/>
      <c r="AEZ4" s="27"/>
      <c r="AFA4" s="27"/>
      <c r="AFB4" s="27"/>
      <c r="AFC4" s="27"/>
      <c r="AFD4" s="27"/>
      <c r="AFE4" s="27"/>
      <c r="AFF4" s="27"/>
      <c r="AFG4" s="27"/>
      <c r="AFH4" s="27"/>
      <c r="AFI4" s="27"/>
      <c r="AFJ4" s="27"/>
      <c r="AFK4" s="27"/>
      <c r="AFL4" s="27"/>
      <c r="AFM4" s="27"/>
      <c r="AFN4" s="27"/>
      <c r="AFO4" s="27"/>
      <c r="AFP4" s="27"/>
      <c r="AFQ4" s="27"/>
      <c r="AFR4" s="27"/>
      <c r="AFS4" s="27"/>
      <c r="AFT4" s="27"/>
      <c r="AFU4" s="27"/>
      <c r="AFV4" s="27"/>
      <c r="AFW4" s="27"/>
      <c r="AFX4" s="27"/>
      <c r="AFY4" s="27"/>
      <c r="AFZ4" s="27"/>
      <c r="AGA4" s="27"/>
      <c r="AGB4" s="27"/>
      <c r="AGC4" s="27"/>
      <c r="AGD4" s="27"/>
      <c r="AGE4" s="27"/>
      <c r="AGF4" s="27"/>
      <c r="AGG4" s="27"/>
      <c r="AGH4" s="27"/>
      <c r="AGI4" s="27"/>
      <c r="AGJ4" s="27"/>
      <c r="AGK4" s="27"/>
      <c r="AGL4" s="27"/>
      <c r="AGM4" s="27"/>
      <c r="AGN4" s="27"/>
      <c r="AGO4" s="27"/>
      <c r="AGP4" s="27"/>
      <c r="AGQ4" s="27"/>
      <c r="AGR4" s="27"/>
      <c r="AGS4" s="27"/>
      <c r="AGT4" s="27"/>
      <c r="AGU4" s="27"/>
      <c r="AGV4" s="27"/>
      <c r="AGW4" s="27"/>
      <c r="AGX4" s="27"/>
      <c r="AGY4" s="27"/>
      <c r="AGZ4" s="27"/>
      <c r="AHA4" s="27"/>
      <c r="AHB4" s="27"/>
      <c r="AHC4" s="27"/>
      <c r="AHD4" s="27"/>
      <c r="AHE4" s="27"/>
      <c r="AHF4" s="27"/>
      <c r="AHG4" s="27"/>
      <c r="AHH4" s="27"/>
      <c r="AHI4" s="27"/>
      <c r="AHJ4" s="27"/>
      <c r="AHK4" s="27"/>
      <c r="AHL4" s="27"/>
      <c r="AHM4" s="27"/>
      <c r="AHN4" s="27"/>
      <c r="AHO4" s="27"/>
      <c r="AHP4" s="27"/>
      <c r="AHQ4" s="27"/>
      <c r="AHR4" s="27"/>
      <c r="AHS4" s="27"/>
      <c r="AHT4" s="27"/>
      <c r="AHU4" s="27"/>
      <c r="AHV4" s="27"/>
      <c r="AHW4" s="27"/>
      <c r="AHX4" s="27"/>
      <c r="AHY4" s="27"/>
      <c r="AHZ4" s="27"/>
      <c r="AIA4" s="27"/>
      <c r="AIB4" s="27"/>
      <c r="AIC4" s="27"/>
      <c r="AID4" s="27"/>
      <c r="AIE4" s="27"/>
      <c r="AIF4" s="27"/>
      <c r="AIG4" s="27"/>
      <c r="AIH4" s="27"/>
      <c r="AII4" s="27"/>
      <c r="AIJ4" s="27"/>
      <c r="AIK4" s="27"/>
      <c r="AIL4" s="27"/>
      <c r="AIM4" s="27"/>
      <c r="AIN4" s="27"/>
      <c r="AIO4" s="27"/>
      <c r="AIP4" s="27"/>
      <c r="AIQ4" s="27"/>
      <c r="AIR4" s="27"/>
      <c r="AIS4" s="27"/>
      <c r="AIT4" s="27"/>
      <c r="AIU4" s="27"/>
      <c r="AIV4" s="27"/>
      <c r="AIW4" s="27"/>
      <c r="AIX4" s="27"/>
      <c r="AIY4" s="27"/>
      <c r="AIZ4" s="27"/>
      <c r="AJA4" s="27"/>
      <c r="AJB4" s="27"/>
      <c r="AJC4" s="27"/>
      <c r="AJD4" s="27"/>
      <c r="AJE4" s="27"/>
      <c r="AJF4" s="27"/>
      <c r="AJG4" s="27"/>
      <c r="AJH4" s="27"/>
      <c r="AJI4" s="27"/>
      <c r="AJJ4" s="27"/>
      <c r="AJK4" s="27"/>
      <c r="AJL4" s="27"/>
      <c r="AJM4" s="27"/>
      <c r="AJN4" s="27"/>
      <c r="AJO4" s="27"/>
      <c r="AJP4" s="27"/>
      <c r="AJQ4" s="27"/>
      <c r="AJR4" s="27"/>
      <c r="AJS4" s="27"/>
      <c r="AJT4" s="27"/>
      <c r="AJU4" s="27"/>
      <c r="AJV4" s="27"/>
      <c r="AJW4" s="27"/>
      <c r="AJX4" s="27"/>
      <c r="AJY4" s="27"/>
      <c r="AJZ4" s="27"/>
    </row>
    <row r="5" spans="1:962" s="31" customFormat="1" x14ac:dyDescent="0.3"/>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UserForm">
                <anchor moveWithCells="1" sizeWithCells="1">
                  <from>
                    <xdr:col>3</xdr:col>
                    <xdr:colOff>579120</xdr:colOff>
                    <xdr:row>0</xdr:row>
                    <xdr:rowOff>198120</xdr:rowOff>
                  </from>
                  <to>
                    <xdr:col>4</xdr:col>
                    <xdr:colOff>236220</xdr:colOff>
                    <xdr:row>0</xdr:row>
                    <xdr:rowOff>563880</xdr:rowOff>
                  </to>
                </anchor>
              </controlPr>
            </control>
          </mc:Choice>
        </mc:AlternateContent>
        <mc:AlternateContent xmlns:mc="http://schemas.openxmlformats.org/markup-compatibility/2006">
          <mc:Choice Requires="x14">
            <control shapeId="1026" r:id="rId5" name="Button 2">
              <controlPr defaultSize="0" print="0" autoFill="0" autoPict="0" macro="[0]!ShowEditForm">
                <anchor moveWithCells="1" sizeWithCells="1">
                  <from>
                    <xdr:col>4</xdr:col>
                    <xdr:colOff>350520</xdr:colOff>
                    <xdr:row>0</xdr:row>
                    <xdr:rowOff>213360</xdr:rowOff>
                  </from>
                  <to>
                    <xdr:col>4</xdr:col>
                    <xdr:colOff>1470660</xdr:colOff>
                    <xdr:row>0</xdr:row>
                    <xdr:rowOff>571500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F224-9F53-442B-9B1F-EEB49036B437}">
  <sheetPr codeName="Sheet5"/>
  <dimension ref="A1"/>
  <sheetViews>
    <sheetView workbookViewId="0">
      <selection activeCell="A2" sqref="A2"/>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159-A63F-4572-8E1D-66DEA189B741}">
  <sheetPr codeName="Sheet6"/>
  <dimension ref="A1:O28"/>
  <sheetViews>
    <sheetView workbookViewId="0">
      <selection activeCell="O16" sqref="O16"/>
    </sheetView>
  </sheetViews>
  <sheetFormatPr defaultColWidth="10.5546875" defaultRowHeight="14.4" x14ac:dyDescent="0.3"/>
  <sheetData>
    <row r="1" spans="1:15" x14ac:dyDescent="0.3">
      <c r="A1" s="56" t="s">
        <v>253</v>
      </c>
      <c r="B1" s="56"/>
      <c r="C1" s="56"/>
      <c r="D1" s="56"/>
      <c r="E1" s="56"/>
      <c r="F1" s="56" t="s">
        <v>254</v>
      </c>
      <c r="G1" s="56"/>
      <c r="H1" s="56"/>
      <c r="I1" s="56"/>
      <c r="J1" s="56"/>
      <c r="K1" s="56" t="s">
        <v>255</v>
      </c>
      <c r="L1" s="56"/>
      <c r="M1" s="56"/>
      <c r="N1" s="56"/>
      <c r="O1" s="56"/>
    </row>
    <row r="2" spans="1:15" x14ac:dyDescent="0.3">
      <c r="A2" t="s">
        <v>134</v>
      </c>
      <c r="B2" t="s">
        <v>259</v>
      </c>
      <c r="C2" t="s">
        <v>137</v>
      </c>
      <c r="D2" t="s">
        <v>260</v>
      </c>
      <c r="E2" t="s">
        <v>261</v>
      </c>
      <c r="F2" t="s">
        <v>134</v>
      </c>
      <c r="G2" t="s">
        <v>259</v>
      </c>
      <c r="H2" t="s">
        <v>137</v>
      </c>
      <c r="I2" t="s">
        <v>260</v>
      </c>
      <c r="J2" t="s">
        <v>261</v>
      </c>
      <c r="K2" t="s">
        <v>134</v>
      </c>
      <c r="L2" t="s">
        <v>259</v>
      </c>
      <c r="M2" t="s">
        <v>137</v>
      </c>
      <c r="N2" t="s">
        <v>260</v>
      </c>
      <c r="O2" t="s">
        <v>261</v>
      </c>
    </row>
    <row r="3" spans="1:15" x14ac:dyDescent="0.3">
      <c r="A3" t="s">
        <v>136</v>
      </c>
      <c r="B3" t="s">
        <v>262</v>
      </c>
      <c r="C3" t="s">
        <v>263</v>
      </c>
      <c r="D3" t="s">
        <v>264</v>
      </c>
      <c r="E3" t="s">
        <v>263</v>
      </c>
      <c r="F3" t="s">
        <v>167</v>
      </c>
      <c r="G3" t="s">
        <v>265</v>
      </c>
      <c r="H3" t="s">
        <v>266</v>
      </c>
      <c r="I3" t="s">
        <v>267</v>
      </c>
      <c r="J3" t="s">
        <v>268</v>
      </c>
      <c r="K3" t="s">
        <v>189</v>
      </c>
      <c r="L3" t="s">
        <v>269</v>
      </c>
      <c r="M3" t="s">
        <v>270</v>
      </c>
      <c r="N3" t="s">
        <v>267</v>
      </c>
      <c r="O3" t="s">
        <v>271</v>
      </c>
    </row>
    <row r="4" spans="1:15" x14ac:dyDescent="0.3">
      <c r="A4" t="s">
        <v>137</v>
      </c>
      <c r="B4" t="s">
        <v>272</v>
      </c>
      <c r="C4" t="s">
        <v>273</v>
      </c>
      <c r="D4" t="s">
        <v>264</v>
      </c>
      <c r="E4" t="s">
        <v>263</v>
      </c>
      <c r="F4" t="s">
        <v>168</v>
      </c>
      <c r="G4" t="s">
        <v>274</v>
      </c>
      <c r="H4" t="s">
        <v>275</v>
      </c>
      <c r="I4" t="s">
        <v>267</v>
      </c>
      <c r="J4" t="s">
        <v>268</v>
      </c>
      <c r="K4" t="s">
        <v>190</v>
      </c>
      <c r="L4" t="s">
        <v>276</v>
      </c>
      <c r="M4" t="s">
        <v>277</v>
      </c>
      <c r="N4" t="s">
        <v>264</v>
      </c>
      <c r="O4" t="s">
        <v>263</v>
      </c>
    </row>
    <row r="5" spans="1:15" x14ac:dyDescent="0.3">
      <c r="A5" t="s">
        <v>138</v>
      </c>
      <c r="B5" t="s">
        <v>278</v>
      </c>
      <c r="C5" t="s">
        <v>279</v>
      </c>
      <c r="D5" t="s">
        <v>264</v>
      </c>
      <c r="E5" t="s">
        <v>263</v>
      </c>
      <c r="F5" t="s">
        <v>169</v>
      </c>
      <c r="G5" t="s">
        <v>280</v>
      </c>
      <c r="H5" t="s">
        <v>281</v>
      </c>
      <c r="I5" t="s">
        <v>267</v>
      </c>
      <c r="J5" t="s">
        <v>268</v>
      </c>
      <c r="K5" t="s">
        <v>172</v>
      </c>
      <c r="L5" t="s">
        <v>282</v>
      </c>
      <c r="M5" t="s">
        <v>283</v>
      </c>
      <c r="N5" t="s">
        <v>284</v>
      </c>
      <c r="O5" t="s">
        <v>285</v>
      </c>
    </row>
    <row r="6" spans="1:15" x14ac:dyDescent="0.3">
      <c r="A6" t="s">
        <v>139</v>
      </c>
      <c r="B6" t="s">
        <v>286</v>
      </c>
      <c r="C6" t="s">
        <v>279</v>
      </c>
      <c r="D6" t="s">
        <v>264</v>
      </c>
      <c r="E6" t="s">
        <v>263</v>
      </c>
      <c r="F6" t="s">
        <v>170</v>
      </c>
      <c r="G6" t="s">
        <v>287</v>
      </c>
      <c r="H6" t="s">
        <v>288</v>
      </c>
      <c r="I6" t="s">
        <v>267</v>
      </c>
      <c r="J6" t="s">
        <v>289</v>
      </c>
      <c r="K6" t="s">
        <v>173</v>
      </c>
      <c r="L6" t="s">
        <v>290</v>
      </c>
      <c r="M6" t="s">
        <v>291</v>
      </c>
      <c r="N6" t="s">
        <v>264</v>
      </c>
      <c r="O6" t="s">
        <v>263</v>
      </c>
    </row>
    <row r="7" spans="1:15" x14ac:dyDescent="0.3">
      <c r="A7" t="s">
        <v>140</v>
      </c>
      <c r="B7" t="s">
        <v>292</v>
      </c>
      <c r="C7" t="s">
        <v>293</v>
      </c>
      <c r="D7" t="s">
        <v>264</v>
      </c>
      <c r="E7" t="s">
        <v>263</v>
      </c>
      <c r="F7" t="s">
        <v>171</v>
      </c>
      <c r="G7" t="s">
        <v>294</v>
      </c>
      <c r="H7" t="s">
        <v>288</v>
      </c>
      <c r="I7" t="s">
        <v>267</v>
      </c>
      <c r="J7" t="s">
        <v>289</v>
      </c>
      <c r="K7" t="s">
        <v>174</v>
      </c>
      <c r="L7" t="s">
        <v>295</v>
      </c>
      <c r="M7" t="s">
        <v>296</v>
      </c>
      <c r="N7" t="s">
        <v>284</v>
      </c>
      <c r="O7" t="s">
        <v>285</v>
      </c>
    </row>
    <row r="8" spans="1:15" x14ac:dyDescent="0.3">
      <c r="A8" t="s">
        <v>141</v>
      </c>
      <c r="B8" t="s">
        <v>297</v>
      </c>
      <c r="C8" t="s">
        <v>298</v>
      </c>
      <c r="D8" t="s">
        <v>264</v>
      </c>
      <c r="E8" t="s">
        <v>263</v>
      </c>
      <c r="F8" t="s">
        <v>129</v>
      </c>
      <c r="G8" t="s">
        <v>299</v>
      </c>
      <c r="H8" t="s">
        <v>300</v>
      </c>
      <c r="I8" t="s">
        <v>267</v>
      </c>
      <c r="J8" t="s">
        <v>301</v>
      </c>
      <c r="K8" t="s">
        <v>175</v>
      </c>
      <c r="L8" t="s">
        <v>302</v>
      </c>
      <c r="M8" t="s">
        <v>291</v>
      </c>
      <c r="N8" t="s">
        <v>264</v>
      </c>
      <c r="O8" t="s">
        <v>263</v>
      </c>
    </row>
    <row r="9" spans="1:15" x14ac:dyDescent="0.3">
      <c r="A9" t="s">
        <v>303</v>
      </c>
      <c r="B9" t="s">
        <v>304</v>
      </c>
      <c r="C9" t="s">
        <v>305</v>
      </c>
      <c r="D9" t="s">
        <v>264</v>
      </c>
      <c r="E9" t="s">
        <v>263</v>
      </c>
      <c r="F9" t="s">
        <v>172</v>
      </c>
      <c r="G9" t="s">
        <v>282</v>
      </c>
      <c r="H9" t="s">
        <v>283</v>
      </c>
      <c r="I9" t="s">
        <v>284</v>
      </c>
      <c r="J9" t="s">
        <v>306</v>
      </c>
      <c r="K9" t="s">
        <v>191</v>
      </c>
      <c r="L9" t="s">
        <v>307</v>
      </c>
      <c r="M9" t="s">
        <v>308</v>
      </c>
      <c r="N9" t="s">
        <v>284</v>
      </c>
      <c r="O9" t="s">
        <v>285</v>
      </c>
    </row>
    <row r="10" spans="1:15" x14ac:dyDescent="0.3">
      <c r="A10" t="s">
        <v>142</v>
      </c>
      <c r="B10" t="s">
        <v>309</v>
      </c>
      <c r="C10" t="s">
        <v>310</v>
      </c>
      <c r="D10" t="s">
        <v>264</v>
      </c>
      <c r="E10" t="s">
        <v>263</v>
      </c>
      <c r="F10" t="s">
        <v>173</v>
      </c>
      <c r="G10" t="s">
        <v>311</v>
      </c>
      <c r="H10" t="s">
        <v>312</v>
      </c>
      <c r="I10" t="s">
        <v>264</v>
      </c>
      <c r="J10" t="s">
        <v>263</v>
      </c>
      <c r="K10" t="s">
        <v>250</v>
      </c>
      <c r="L10" t="s">
        <v>313</v>
      </c>
      <c r="M10" t="s">
        <v>314</v>
      </c>
      <c r="N10" t="s">
        <v>264</v>
      </c>
      <c r="O10" t="s">
        <v>263</v>
      </c>
    </row>
    <row r="11" spans="1:15" x14ac:dyDescent="0.3">
      <c r="A11" t="s">
        <v>143</v>
      </c>
      <c r="B11" t="s">
        <v>315</v>
      </c>
      <c r="C11" t="s">
        <v>316</v>
      </c>
      <c r="D11" t="s">
        <v>264</v>
      </c>
      <c r="E11" t="s">
        <v>263</v>
      </c>
      <c r="F11" t="s">
        <v>174</v>
      </c>
      <c r="G11" t="s">
        <v>295</v>
      </c>
      <c r="H11" t="s">
        <v>296</v>
      </c>
      <c r="I11" t="s">
        <v>284</v>
      </c>
      <c r="J11" t="s">
        <v>306</v>
      </c>
      <c r="K11" t="s">
        <v>192</v>
      </c>
      <c r="L11" t="s">
        <v>317</v>
      </c>
      <c r="M11" t="s">
        <v>318</v>
      </c>
      <c r="N11" t="s">
        <v>284</v>
      </c>
      <c r="O11" t="s">
        <v>319</v>
      </c>
    </row>
    <row r="12" spans="1:15" x14ac:dyDescent="0.3">
      <c r="A12" t="s">
        <v>320</v>
      </c>
      <c r="B12" t="s">
        <v>321</v>
      </c>
      <c r="C12" t="s">
        <v>322</v>
      </c>
      <c r="D12" t="s">
        <v>264</v>
      </c>
      <c r="E12" t="s">
        <v>263</v>
      </c>
      <c r="F12" t="s">
        <v>175</v>
      </c>
      <c r="G12" t="s">
        <v>323</v>
      </c>
      <c r="H12" t="s">
        <v>312</v>
      </c>
      <c r="I12" t="s">
        <v>264</v>
      </c>
      <c r="J12" t="s">
        <v>263</v>
      </c>
      <c r="K12" t="s">
        <v>193</v>
      </c>
      <c r="L12" t="s">
        <v>324</v>
      </c>
      <c r="M12" t="s">
        <v>325</v>
      </c>
      <c r="N12" t="s">
        <v>264</v>
      </c>
      <c r="O12" t="s">
        <v>263</v>
      </c>
    </row>
    <row r="13" spans="1:15" x14ac:dyDescent="0.3">
      <c r="A13" t="s">
        <v>145</v>
      </c>
      <c r="B13" t="s">
        <v>326</v>
      </c>
      <c r="C13" t="s">
        <v>263</v>
      </c>
      <c r="D13" t="s">
        <v>264</v>
      </c>
      <c r="E13" t="s">
        <v>263</v>
      </c>
      <c r="F13" t="s">
        <v>176</v>
      </c>
      <c r="G13" t="s">
        <v>327</v>
      </c>
      <c r="H13" t="s">
        <v>328</v>
      </c>
      <c r="I13" t="s">
        <v>264</v>
      </c>
      <c r="J13" t="s">
        <v>263</v>
      </c>
      <c r="K13" t="s">
        <v>329</v>
      </c>
      <c r="L13" t="s">
        <v>330</v>
      </c>
      <c r="M13" t="s">
        <v>331</v>
      </c>
      <c r="N13" t="s">
        <v>264</v>
      </c>
      <c r="O13" t="s">
        <v>263</v>
      </c>
    </row>
    <row r="14" spans="1:15" x14ac:dyDescent="0.3">
      <c r="A14" t="s">
        <v>146</v>
      </c>
      <c r="B14" t="s">
        <v>332</v>
      </c>
      <c r="C14" t="s">
        <v>263</v>
      </c>
      <c r="D14" t="s">
        <v>264</v>
      </c>
      <c r="E14" t="s">
        <v>263</v>
      </c>
      <c r="F14" t="s">
        <v>329</v>
      </c>
      <c r="G14" t="s">
        <v>330</v>
      </c>
      <c r="H14" t="s">
        <v>331</v>
      </c>
      <c r="I14" t="s">
        <v>264</v>
      </c>
      <c r="J14" t="s">
        <v>263</v>
      </c>
      <c r="K14" t="s">
        <v>194</v>
      </c>
      <c r="L14" t="s">
        <v>333</v>
      </c>
      <c r="M14" t="s">
        <v>334</v>
      </c>
      <c r="N14" t="s">
        <v>264</v>
      </c>
      <c r="O14" t="s">
        <v>263</v>
      </c>
    </row>
    <row r="15" spans="1:15" x14ac:dyDescent="0.3">
      <c r="A15" t="s">
        <v>147</v>
      </c>
      <c r="B15" t="s">
        <v>335</v>
      </c>
      <c r="C15" t="s">
        <v>336</v>
      </c>
      <c r="D15" t="s">
        <v>264</v>
      </c>
      <c r="E15" t="s">
        <v>263</v>
      </c>
      <c r="F15" t="s">
        <v>177</v>
      </c>
      <c r="G15" t="s">
        <v>337</v>
      </c>
      <c r="H15" t="s">
        <v>338</v>
      </c>
      <c r="I15" t="s">
        <v>284</v>
      </c>
      <c r="J15" t="s">
        <v>339</v>
      </c>
      <c r="K15" t="s">
        <v>195</v>
      </c>
      <c r="L15" t="s">
        <v>340</v>
      </c>
      <c r="M15" t="s">
        <v>341</v>
      </c>
      <c r="N15" t="s">
        <v>264</v>
      </c>
      <c r="O15" t="s">
        <v>263</v>
      </c>
    </row>
    <row r="16" spans="1:15" x14ac:dyDescent="0.3">
      <c r="A16" t="s">
        <v>148</v>
      </c>
      <c r="B16" t="s">
        <v>342</v>
      </c>
      <c r="C16" t="s">
        <v>263</v>
      </c>
      <c r="D16" t="s">
        <v>264</v>
      </c>
      <c r="E16" t="s">
        <v>263</v>
      </c>
      <c r="F16" t="s">
        <v>178</v>
      </c>
      <c r="G16" t="s">
        <v>343</v>
      </c>
      <c r="H16" t="s">
        <v>344</v>
      </c>
      <c r="I16" t="s">
        <v>264</v>
      </c>
      <c r="J16" t="s">
        <v>339</v>
      </c>
      <c r="K16" t="s">
        <v>196</v>
      </c>
      <c r="L16" t="s">
        <v>345</v>
      </c>
      <c r="M16" t="s">
        <v>346</v>
      </c>
      <c r="N16" t="s">
        <v>264</v>
      </c>
      <c r="O16" t="s">
        <v>263</v>
      </c>
    </row>
    <row r="17" spans="1:15" x14ac:dyDescent="0.3">
      <c r="A17" t="s">
        <v>149</v>
      </c>
      <c r="B17" t="s">
        <v>347</v>
      </c>
      <c r="C17" t="s">
        <v>263</v>
      </c>
      <c r="D17" t="s">
        <v>264</v>
      </c>
      <c r="E17" t="s">
        <v>263</v>
      </c>
      <c r="F17" t="s">
        <v>179</v>
      </c>
      <c r="G17" t="s">
        <v>348</v>
      </c>
      <c r="H17" t="s">
        <v>338</v>
      </c>
      <c r="I17" t="s">
        <v>284</v>
      </c>
      <c r="J17" t="s">
        <v>339</v>
      </c>
      <c r="K17" t="s">
        <v>349</v>
      </c>
      <c r="L17" t="s">
        <v>350</v>
      </c>
      <c r="M17" t="s">
        <v>351</v>
      </c>
      <c r="N17" t="s">
        <v>264</v>
      </c>
      <c r="O17" t="s">
        <v>263</v>
      </c>
    </row>
    <row r="18" spans="1:15" x14ac:dyDescent="0.3">
      <c r="A18" t="s">
        <v>150</v>
      </c>
      <c r="B18" t="s">
        <v>352</v>
      </c>
      <c r="C18" t="s">
        <v>263</v>
      </c>
      <c r="D18" t="s">
        <v>264</v>
      </c>
      <c r="E18" t="s">
        <v>263</v>
      </c>
      <c r="F18" t="s">
        <v>180</v>
      </c>
      <c r="G18" t="s">
        <v>353</v>
      </c>
      <c r="H18" t="s">
        <v>354</v>
      </c>
      <c r="I18" t="s">
        <v>264</v>
      </c>
      <c r="J18" t="s">
        <v>263</v>
      </c>
    </row>
    <row r="19" spans="1:15" x14ac:dyDescent="0.3">
      <c r="A19" t="s">
        <v>151</v>
      </c>
      <c r="B19" t="s">
        <v>355</v>
      </c>
      <c r="C19" t="s">
        <v>356</v>
      </c>
      <c r="D19" t="s">
        <v>264</v>
      </c>
      <c r="E19" t="s">
        <v>263</v>
      </c>
      <c r="F19" t="s">
        <v>181</v>
      </c>
      <c r="G19" t="s">
        <v>357</v>
      </c>
      <c r="H19" t="s">
        <v>338</v>
      </c>
      <c r="I19" t="s">
        <v>284</v>
      </c>
      <c r="J19" t="s">
        <v>339</v>
      </c>
    </row>
    <row r="20" spans="1:15" x14ac:dyDescent="0.3">
      <c r="A20" t="s">
        <v>358</v>
      </c>
      <c r="B20" t="s">
        <v>359</v>
      </c>
      <c r="C20" t="s">
        <v>360</v>
      </c>
      <c r="D20" t="s">
        <v>264</v>
      </c>
      <c r="E20" t="s">
        <v>263</v>
      </c>
      <c r="F20" t="s">
        <v>182</v>
      </c>
      <c r="G20" t="s">
        <v>361</v>
      </c>
      <c r="H20" t="s">
        <v>354</v>
      </c>
      <c r="I20" t="s">
        <v>264</v>
      </c>
      <c r="J20" t="s">
        <v>263</v>
      </c>
    </row>
    <row r="21" spans="1:15" x14ac:dyDescent="0.3">
      <c r="A21" t="s">
        <v>152</v>
      </c>
      <c r="B21" t="s">
        <v>362</v>
      </c>
      <c r="C21" t="s">
        <v>363</v>
      </c>
      <c r="D21" t="s">
        <v>267</v>
      </c>
      <c r="E21" t="s">
        <v>364</v>
      </c>
      <c r="F21" t="s">
        <v>183</v>
      </c>
      <c r="G21" t="s">
        <v>365</v>
      </c>
      <c r="H21" t="s">
        <v>366</v>
      </c>
      <c r="I21" t="s">
        <v>264</v>
      </c>
      <c r="J21" t="s">
        <v>263</v>
      </c>
    </row>
    <row r="22" spans="1:15" x14ac:dyDescent="0.3">
      <c r="A22" t="s">
        <v>153</v>
      </c>
      <c r="B22" t="s">
        <v>367</v>
      </c>
      <c r="C22" t="s">
        <v>368</v>
      </c>
      <c r="D22" t="s">
        <v>267</v>
      </c>
      <c r="E22" t="s">
        <v>369</v>
      </c>
      <c r="F22" t="s">
        <v>184</v>
      </c>
      <c r="G22" t="s">
        <v>370</v>
      </c>
      <c r="H22" t="s">
        <v>371</v>
      </c>
      <c r="I22" t="s">
        <v>267</v>
      </c>
      <c r="J22" t="s">
        <v>372</v>
      </c>
    </row>
    <row r="23" spans="1:15" x14ac:dyDescent="0.3">
      <c r="A23" t="s">
        <v>154</v>
      </c>
      <c r="B23" t="s">
        <v>373</v>
      </c>
      <c r="C23" t="s">
        <v>374</v>
      </c>
      <c r="D23" t="s">
        <v>267</v>
      </c>
      <c r="E23" t="s">
        <v>375</v>
      </c>
      <c r="F23" t="s">
        <v>185</v>
      </c>
      <c r="G23" t="s">
        <v>376</v>
      </c>
      <c r="H23" t="s">
        <v>377</v>
      </c>
      <c r="I23" t="s">
        <v>267</v>
      </c>
      <c r="J23" t="s">
        <v>378</v>
      </c>
    </row>
    <row r="24" spans="1:15" x14ac:dyDescent="0.3">
      <c r="A24" t="s">
        <v>155</v>
      </c>
      <c r="B24" t="s">
        <v>379</v>
      </c>
      <c r="C24" t="s">
        <v>380</v>
      </c>
      <c r="D24" t="s">
        <v>267</v>
      </c>
      <c r="E24" t="s">
        <v>381</v>
      </c>
      <c r="F24" t="s">
        <v>186</v>
      </c>
      <c r="G24" t="s">
        <v>382</v>
      </c>
      <c r="H24" t="s">
        <v>383</v>
      </c>
      <c r="I24" t="s">
        <v>267</v>
      </c>
      <c r="J24" t="s">
        <v>384</v>
      </c>
    </row>
    <row r="25" spans="1:15" x14ac:dyDescent="0.3">
      <c r="A25" t="s">
        <v>156</v>
      </c>
      <c r="B25" t="s">
        <v>385</v>
      </c>
      <c r="C25" t="s">
        <v>386</v>
      </c>
      <c r="D25" t="s">
        <v>284</v>
      </c>
      <c r="E25" t="s">
        <v>387</v>
      </c>
      <c r="F25" t="s">
        <v>187</v>
      </c>
      <c r="G25" t="s">
        <v>388</v>
      </c>
      <c r="H25" t="s">
        <v>389</v>
      </c>
      <c r="I25" t="s">
        <v>267</v>
      </c>
      <c r="J25" t="s">
        <v>390</v>
      </c>
    </row>
    <row r="26" spans="1:15" x14ac:dyDescent="0.3">
      <c r="A26" t="s">
        <v>157</v>
      </c>
      <c r="B26" t="s">
        <v>391</v>
      </c>
      <c r="C26" t="s">
        <v>392</v>
      </c>
      <c r="D26" t="s">
        <v>284</v>
      </c>
      <c r="E26" t="s">
        <v>387</v>
      </c>
      <c r="F26" t="s">
        <v>188</v>
      </c>
      <c r="G26" t="s">
        <v>393</v>
      </c>
      <c r="H26" t="s">
        <v>394</v>
      </c>
      <c r="I26" t="s">
        <v>264</v>
      </c>
      <c r="J26" t="s">
        <v>263</v>
      </c>
    </row>
    <row r="27" spans="1:15" x14ac:dyDescent="0.3">
      <c r="A27" t="s">
        <v>158</v>
      </c>
      <c r="B27" t="s">
        <v>395</v>
      </c>
      <c r="C27" t="s">
        <v>396</v>
      </c>
      <c r="D27" t="s">
        <v>284</v>
      </c>
      <c r="E27" t="s">
        <v>387</v>
      </c>
      <c r="F27" t="s">
        <v>397</v>
      </c>
      <c r="G27" t="s">
        <v>398</v>
      </c>
      <c r="H27" t="s">
        <v>399</v>
      </c>
      <c r="I27" t="s">
        <v>264</v>
      </c>
      <c r="J27" t="s">
        <v>263</v>
      </c>
    </row>
    <row r="28" spans="1:15" x14ac:dyDescent="0.3">
      <c r="F28" t="s">
        <v>349</v>
      </c>
      <c r="G28" t="s">
        <v>350</v>
      </c>
      <c r="H28" t="s">
        <v>351</v>
      </c>
      <c r="I28" t="s">
        <v>264</v>
      </c>
      <c r="J28" t="s">
        <v>263</v>
      </c>
    </row>
  </sheetData>
  <mergeCells count="3">
    <mergeCell ref="A1:E1"/>
    <mergeCell ref="F1:J1"/>
    <mergeCell ref="K1:O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B97AD-E0C5-4035-83A2-A78C57AA5CC6}">
  <sheetPr codeName="Sheet7"/>
  <dimension ref="A1:C2"/>
  <sheetViews>
    <sheetView workbookViewId="0">
      <selection activeCell="C7" sqref="C7"/>
    </sheetView>
  </sheetViews>
  <sheetFormatPr defaultRowHeight="14.4" x14ac:dyDescent="0.3"/>
  <sheetData>
    <row r="1" spans="1:3" x14ac:dyDescent="0.3">
      <c r="A1" t="s">
        <v>253</v>
      </c>
      <c r="B1" t="s">
        <v>254</v>
      </c>
      <c r="C1" t="s">
        <v>255</v>
      </c>
    </row>
    <row r="2" spans="1:3" x14ac:dyDescent="0.3">
      <c r="A2" t="s">
        <v>256</v>
      </c>
      <c r="B2" t="s">
        <v>257</v>
      </c>
      <c r="C2" t="s">
        <v>258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3:E10"/>
  <sheetViews>
    <sheetView workbookViewId="0">
      <selection activeCell="E10" sqref="E10"/>
    </sheetView>
  </sheetViews>
  <sheetFormatPr defaultRowHeight="14.4" x14ac:dyDescent="0.3"/>
  <sheetData>
    <row r="3" spans="2:5" x14ac:dyDescent="0.3">
      <c r="B3">
        <f>COUNTA(Projects!A5:A500)</f>
        <v>0</v>
      </c>
      <c r="C3" t="s">
        <v>126</v>
      </c>
    </row>
    <row r="4" spans="2:5" x14ac:dyDescent="0.3">
      <c r="B4" t="s">
        <v>249</v>
      </c>
      <c r="C4" t="s">
        <v>127</v>
      </c>
    </row>
    <row r="5" spans="2:5" x14ac:dyDescent="0.3">
      <c r="B5">
        <v>2</v>
      </c>
      <c r="C5" t="s">
        <v>128</v>
      </c>
    </row>
    <row r="10" spans="2:5" x14ac:dyDescent="0.3">
      <c r="D10">
        <f>MATCH(E10,_FieldDefinitions!A:A,0)</f>
        <v>4</v>
      </c>
      <c r="E10" t="s">
        <v>137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O112"/>
  <sheetViews>
    <sheetView zoomScale="85" zoomScaleNormal="85" workbookViewId="0">
      <selection activeCell="B7" sqref="B7"/>
    </sheetView>
  </sheetViews>
  <sheetFormatPr defaultColWidth="9.109375" defaultRowHeight="14.4" x14ac:dyDescent="0.3"/>
  <cols>
    <col min="1" max="1" width="11.44140625" style="38" bestFit="1" customWidth="1"/>
    <col min="2" max="2" width="34.6640625" style="38" bestFit="1" customWidth="1"/>
    <col min="3" max="3" width="1.5546875" style="38" customWidth="1"/>
    <col min="4" max="4" width="12.109375" style="38" customWidth="1"/>
    <col min="5" max="5" width="16.6640625" style="38" bestFit="1" customWidth="1"/>
    <col min="6" max="6" width="15.44140625" style="38" bestFit="1" customWidth="1"/>
    <col min="7" max="7" width="18.88671875" style="38" customWidth="1"/>
    <col min="8" max="8" width="16" style="38" customWidth="1"/>
    <col min="9" max="9" width="53.109375" style="38" bestFit="1" customWidth="1"/>
    <col min="10" max="10" width="1.5546875" style="38" customWidth="1"/>
    <col min="11" max="11" width="16.5546875" style="38" bestFit="1" customWidth="1"/>
    <col min="12" max="12" width="3.33203125" style="38" customWidth="1"/>
    <col min="13" max="13" width="1.88671875" style="3" customWidth="1"/>
    <col min="14" max="16384" width="9.109375" style="3"/>
  </cols>
  <sheetData>
    <row r="1" spans="1:13" s="35" customFormat="1" ht="27" customHeight="1" x14ac:dyDescent="0.3">
      <c r="A1" s="57" t="s">
        <v>131</v>
      </c>
      <c r="B1" s="57"/>
      <c r="C1" s="36"/>
      <c r="D1" s="57" t="s">
        <v>132</v>
      </c>
      <c r="E1" s="57"/>
      <c r="F1" s="57"/>
      <c r="G1" s="57"/>
      <c r="H1" s="57"/>
      <c r="I1" s="57"/>
      <c r="J1" s="36"/>
      <c r="K1" s="36" t="s">
        <v>251</v>
      </c>
      <c r="L1" s="36">
        <v>6</v>
      </c>
      <c r="M1" s="36"/>
    </row>
    <row r="2" spans="1:13" s="34" customFormat="1" ht="21" customHeight="1" x14ac:dyDescent="0.3">
      <c r="A2" s="37" t="s">
        <v>133</v>
      </c>
      <c r="B2" s="37" t="s">
        <v>134</v>
      </c>
      <c r="C2" s="37"/>
      <c r="D2" s="37" t="s">
        <v>159</v>
      </c>
      <c r="E2" s="37" t="s">
        <v>162</v>
      </c>
      <c r="F2" s="37" t="s">
        <v>161</v>
      </c>
      <c r="G2" s="37" t="s">
        <v>164</v>
      </c>
      <c r="H2" s="37" t="s">
        <v>163</v>
      </c>
      <c r="I2" s="37" t="s">
        <v>165</v>
      </c>
      <c r="J2" s="37"/>
      <c r="K2" s="33"/>
      <c r="L2" s="33"/>
      <c r="M2" s="33"/>
    </row>
    <row r="3" spans="1:13" x14ac:dyDescent="0.3">
      <c r="A3" s="39" t="s">
        <v>135</v>
      </c>
      <c r="B3" s="39" t="s">
        <v>136</v>
      </c>
      <c r="C3" s="32"/>
      <c r="D3" s="39" t="s">
        <v>160</v>
      </c>
      <c r="E3" s="39">
        <f t="shared" ref="E3:E26" si="0">$L$3</f>
        <v>4</v>
      </c>
      <c r="F3" s="39">
        <v>1</v>
      </c>
      <c r="G3" s="39" t="str">
        <f>ADDRESS(E3,F3)</f>
        <v>$A$4</v>
      </c>
      <c r="H3" s="39" t="str">
        <f>_xlfn.CONCAT("'" &amp; D3 &amp; "'!" &amp; G3)</f>
        <v>'Projects'!$A$4</v>
      </c>
      <c r="I3" s="39" t="str">
        <f t="array" aca="1" ref="I3" ca="1">INDIRECT(H3)</f>
        <v>Title</v>
      </c>
      <c r="J3" s="32"/>
      <c r="K3" s="42" t="s">
        <v>166</v>
      </c>
      <c r="L3" s="42">
        <v>4</v>
      </c>
      <c r="M3" s="32"/>
    </row>
    <row r="4" spans="1:13" x14ac:dyDescent="0.3">
      <c r="A4" s="39" t="s">
        <v>135</v>
      </c>
      <c r="B4" s="39" t="s">
        <v>153</v>
      </c>
      <c r="C4" s="32"/>
      <c r="D4" s="39" t="s">
        <v>160</v>
      </c>
      <c r="E4" s="39">
        <f t="shared" si="0"/>
        <v>4</v>
      </c>
      <c r="F4" s="39">
        <v>2</v>
      </c>
      <c r="G4" s="39" t="str">
        <f t="shared" ref="G4:G49" si="1">ADDRESS(E4,F4)</f>
        <v>$B$4</v>
      </c>
      <c r="H4" s="39" t="str">
        <f t="shared" ref="H4:H49" si="2">_xlfn.CONCAT("'" &amp; D4 &amp; "'!" &amp; G4)</f>
        <v>'Projects'!$B$4</v>
      </c>
      <c r="I4" s="39" t="str">
        <f t="array" aca="1" ref="I4" ca="1">INDIRECT(H4)</f>
        <v>Measure type</v>
      </c>
      <c r="J4" s="32"/>
      <c r="K4" s="32"/>
      <c r="L4" s="32"/>
      <c r="M4" s="32"/>
    </row>
    <row r="5" spans="1:13" x14ac:dyDescent="0.3">
      <c r="A5" s="39" t="s">
        <v>135</v>
      </c>
      <c r="B5" s="39" t="s">
        <v>137</v>
      </c>
      <c r="C5" s="32"/>
      <c r="D5" s="39" t="s">
        <v>160</v>
      </c>
      <c r="E5" s="39">
        <f t="shared" si="0"/>
        <v>4</v>
      </c>
      <c r="F5" s="39">
        <v>3</v>
      </c>
      <c r="G5" s="39" t="str">
        <f t="shared" si="1"/>
        <v>$C$4</v>
      </c>
      <c r="H5" s="39" t="str">
        <f t="shared" si="2"/>
        <v>'Projects'!$C$4</v>
      </c>
      <c r="I5" s="39" t="str">
        <f t="array" aca="1" ref="I5" ca="1">INDIRECT(H5)</f>
        <v>Description</v>
      </c>
      <c r="J5" s="32"/>
      <c r="K5" s="3"/>
      <c r="L5" s="3"/>
    </row>
    <row r="6" spans="1:13" x14ac:dyDescent="0.3">
      <c r="A6" s="39" t="s">
        <v>135</v>
      </c>
      <c r="B6" s="39" t="s">
        <v>154</v>
      </c>
      <c r="C6" s="32"/>
      <c r="D6" s="39" t="s">
        <v>160</v>
      </c>
      <c r="E6" s="39">
        <f t="shared" si="0"/>
        <v>4</v>
      </c>
      <c r="F6" s="39">
        <v>4</v>
      </c>
      <c r="G6" s="39" t="str">
        <f t="shared" si="1"/>
        <v>$D$4</v>
      </c>
      <c r="H6" s="39" t="str">
        <f t="shared" si="2"/>
        <v>'Projects'!$D$4</v>
      </c>
      <c r="I6" s="39" t="str">
        <f t="array" aca="1" ref="I6" ca="1">INDIRECT(H6)</f>
        <v>Implementation status</v>
      </c>
      <c r="J6" s="32"/>
      <c r="K6" s="3"/>
      <c r="L6" s="3"/>
    </row>
    <row r="7" spans="1:13" x14ac:dyDescent="0.3">
      <c r="A7" s="39" t="s">
        <v>135</v>
      </c>
      <c r="B7" s="39" t="s">
        <v>141</v>
      </c>
      <c r="C7" s="32"/>
      <c r="D7" s="39" t="s">
        <v>160</v>
      </c>
      <c r="E7" s="39">
        <f t="shared" si="0"/>
        <v>4</v>
      </c>
      <c r="F7" s="39">
        <v>5</v>
      </c>
      <c r="G7" s="39" t="str">
        <f t="shared" si="1"/>
        <v>$E$4</v>
      </c>
      <c r="H7" s="39" t="str">
        <f t="shared" si="2"/>
        <v>'Projects'!$E$4</v>
      </c>
      <c r="I7" s="39" t="str">
        <f t="array" aca="1" ref="I7" ca="1">INDIRECT(H7)</f>
        <v>Implementing organization</v>
      </c>
      <c r="J7" s="32"/>
      <c r="K7" s="3"/>
      <c r="L7" s="3"/>
    </row>
    <row r="8" spans="1:13" x14ac:dyDescent="0.3">
      <c r="A8" s="39" t="s">
        <v>135</v>
      </c>
      <c r="B8" s="39" t="s">
        <v>138</v>
      </c>
      <c r="C8" s="32"/>
      <c r="D8" s="39" t="s">
        <v>160</v>
      </c>
      <c r="E8" s="39">
        <f t="shared" si="0"/>
        <v>4</v>
      </c>
      <c r="F8" s="39">
        <v>6</v>
      </c>
      <c r="G8" s="39" t="str">
        <f t="shared" si="1"/>
        <v>$F$4</v>
      </c>
      <c r="H8" s="39" t="str">
        <f t="shared" si="2"/>
        <v>'Projects'!$F$4</v>
      </c>
      <c r="I8" s="39" t="str">
        <f t="array" aca="1" ref="I8" ca="1">INDIRECT(H8)</f>
        <v>Start year</v>
      </c>
      <c r="J8" s="32"/>
      <c r="K8" s="3"/>
      <c r="L8" s="3"/>
    </row>
    <row r="9" spans="1:13" x14ac:dyDescent="0.3">
      <c r="A9" s="39" t="s">
        <v>135</v>
      </c>
      <c r="B9" s="39" t="s">
        <v>139</v>
      </c>
      <c r="C9" s="32"/>
      <c r="D9" s="39" t="s">
        <v>160</v>
      </c>
      <c r="E9" s="39">
        <f t="shared" si="0"/>
        <v>4</v>
      </c>
      <c r="F9" s="39">
        <v>7</v>
      </c>
      <c r="G9" s="39" t="str">
        <f t="shared" si="1"/>
        <v>$G$4</v>
      </c>
      <c r="H9" s="39" t="str">
        <f t="shared" si="2"/>
        <v>'Projects'!$G$4</v>
      </c>
      <c r="I9" s="39" t="str">
        <f t="array" aca="1" ref="I9" ca="1">INDIRECT(H9)</f>
        <v>End year</v>
      </c>
      <c r="J9" s="32"/>
      <c r="K9" s="3"/>
      <c r="L9" s="3"/>
    </row>
    <row r="10" spans="1:13" x14ac:dyDescent="0.3">
      <c r="A10" s="39" t="s">
        <v>135</v>
      </c>
      <c r="B10" s="39" t="s">
        <v>140</v>
      </c>
      <c r="C10" s="32"/>
      <c r="D10" s="39" t="s">
        <v>160</v>
      </c>
      <c r="E10" s="39">
        <f t="shared" si="0"/>
        <v>4</v>
      </c>
      <c r="F10" s="39">
        <v>8</v>
      </c>
      <c r="G10" s="39" t="str">
        <f t="shared" si="1"/>
        <v>$H$4</v>
      </c>
      <c r="H10" s="39" t="str">
        <f t="shared" si="2"/>
        <v>'Projects'!$H$4</v>
      </c>
      <c r="I10" s="39" t="str">
        <f t="array" aca="1" ref="I10" ca="1">INDIRECT(H10)</f>
        <v>Website</v>
      </c>
      <c r="J10" s="32"/>
      <c r="K10" s="3"/>
      <c r="L10" s="3"/>
    </row>
    <row r="11" spans="1:13" x14ac:dyDescent="0.3">
      <c r="A11" s="39" t="s">
        <v>135</v>
      </c>
      <c r="B11" s="39" t="s">
        <v>142</v>
      </c>
      <c r="C11" s="32"/>
      <c r="D11" s="39" t="s">
        <v>160</v>
      </c>
      <c r="E11" s="39">
        <f t="shared" si="0"/>
        <v>4</v>
      </c>
      <c r="F11" s="39">
        <v>9</v>
      </c>
      <c r="G11" s="39" t="str">
        <f t="shared" si="1"/>
        <v>$I$4</v>
      </c>
      <c r="H11" s="39" t="str">
        <f t="shared" si="2"/>
        <v>'Projects'!$I$4</v>
      </c>
      <c r="I11" s="39" t="str">
        <f t="array" aca="1" ref="I11" ca="1">INDIRECT(H11)</f>
        <v>Funding organization</v>
      </c>
      <c r="J11" s="32"/>
      <c r="K11" s="3"/>
      <c r="L11" s="3"/>
    </row>
    <row r="12" spans="1:13" x14ac:dyDescent="0.3">
      <c r="A12" s="39" t="s">
        <v>135</v>
      </c>
      <c r="B12" s="39" t="s">
        <v>155</v>
      </c>
      <c r="C12" s="32"/>
      <c r="D12" s="39" t="s">
        <v>160</v>
      </c>
      <c r="E12" s="39">
        <f t="shared" si="0"/>
        <v>4</v>
      </c>
      <c r="F12" s="39">
        <v>10</v>
      </c>
      <c r="G12" s="39" t="str">
        <f t="shared" si="1"/>
        <v>$J$4</v>
      </c>
      <c r="H12" s="39" t="str">
        <f t="shared" si="2"/>
        <v>'Projects'!$J$4</v>
      </c>
      <c r="I12" s="39" t="str">
        <f t="array" aca="1" ref="I12" ca="1">INDIRECT(H12)</f>
        <v>Type of funding</v>
      </c>
      <c r="J12" s="32"/>
      <c r="K12" s="3"/>
      <c r="L12" s="3"/>
    </row>
    <row r="13" spans="1:13" x14ac:dyDescent="0.3">
      <c r="A13" s="39" t="s">
        <v>135</v>
      </c>
      <c r="B13" s="39" t="s">
        <v>143</v>
      </c>
      <c r="C13" s="32"/>
      <c r="D13" s="39" t="s">
        <v>160</v>
      </c>
      <c r="E13" s="39">
        <f t="shared" si="0"/>
        <v>4</v>
      </c>
      <c r="F13" s="39">
        <v>11</v>
      </c>
      <c r="G13" s="39" t="str">
        <f t="shared" si="1"/>
        <v>$K$4</v>
      </c>
      <c r="H13" s="39" t="str">
        <f t="shared" si="2"/>
        <v>'Projects'!$K$4</v>
      </c>
      <c r="I13" s="39" t="str">
        <f t="array" aca="1" ref="I13" ca="1">INDIRECT(H13)</f>
        <v>Actual budget</v>
      </c>
      <c r="J13" s="32"/>
      <c r="K13" s="3"/>
      <c r="L13" s="3"/>
    </row>
    <row r="14" spans="1:13" x14ac:dyDescent="0.3">
      <c r="A14" s="39" t="s">
        <v>135</v>
      </c>
      <c r="B14" s="39" t="s">
        <v>152</v>
      </c>
      <c r="C14" s="32"/>
      <c r="D14" s="39" t="s">
        <v>160</v>
      </c>
      <c r="E14" s="39">
        <f t="shared" si="0"/>
        <v>4</v>
      </c>
      <c r="F14" s="39">
        <v>12</v>
      </c>
      <c r="G14" s="39" t="str">
        <f t="shared" si="1"/>
        <v>$L$4</v>
      </c>
      <c r="H14" s="39" t="str">
        <f t="shared" si="2"/>
        <v>'Projects'!$L$4</v>
      </c>
      <c r="I14" s="39" t="str">
        <f t="array" aca="1" ref="I14" ca="1">INDIRECT(H14)</f>
        <v>Estimated budget</v>
      </c>
      <c r="J14" s="32"/>
      <c r="K14" s="3"/>
      <c r="L14" s="3"/>
    </row>
    <row r="15" spans="1:13" x14ac:dyDescent="0.3">
      <c r="A15" s="39" t="s">
        <v>135</v>
      </c>
      <c r="B15" s="39" t="s">
        <v>156</v>
      </c>
      <c r="C15" s="32"/>
      <c r="D15" s="39" t="s">
        <v>160</v>
      </c>
      <c r="E15" s="39">
        <f t="shared" si="0"/>
        <v>4</v>
      </c>
      <c r="F15" s="39">
        <v>13</v>
      </c>
      <c r="G15" s="39" t="str">
        <f t="shared" si="1"/>
        <v>$M$4</v>
      </c>
      <c r="H15" s="39" t="str">
        <f t="shared" si="2"/>
        <v>'Projects'!$M$4</v>
      </c>
      <c r="I15" s="39" t="str">
        <f t="array" aca="1" ref="I15" ca="1">INDIRECT(H15)</f>
        <v>Province</v>
      </c>
      <c r="J15" s="32"/>
      <c r="K15" s="3"/>
      <c r="L15" s="3"/>
    </row>
    <row r="16" spans="1:13" x14ac:dyDescent="0.3">
      <c r="A16" s="39" t="s">
        <v>135</v>
      </c>
      <c r="B16" s="39" t="s">
        <v>157</v>
      </c>
      <c r="C16" s="32"/>
      <c r="D16" s="39" t="s">
        <v>160</v>
      </c>
      <c r="E16" s="39">
        <f t="shared" si="0"/>
        <v>4</v>
      </c>
      <c r="F16" s="39">
        <v>14</v>
      </c>
      <c r="G16" s="39" t="str">
        <f t="shared" si="1"/>
        <v>$N$4</v>
      </c>
      <c r="H16" s="39" t="str">
        <f t="shared" si="2"/>
        <v>'Projects'!$N$4</v>
      </c>
      <c r="I16" s="39" t="str">
        <f t="array" aca="1" ref="I16" ca="1">INDIRECT(H16)</f>
        <v>District</v>
      </c>
      <c r="J16" s="32"/>
      <c r="K16" s="3"/>
      <c r="L16" s="3"/>
    </row>
    <row r="17" spans="1:12" x14ac:dyDescent="0.3">
      <c r="A17" s="39" t="s">
        <v>135</v>
      </c>
      <c r="B17" s="39" t="s">
        <v>158</v>
      </c>
      <c r="C17" s="32"/>
      <c r="D17" s="39" t="s">
        <v>160</v>
      </c>
      <c r="E17" s="39">
        <f t="shared" si="0"/>
        <v>4</v>
      </c>
      <c r="F17" s="39">
        <v>15</v>
      </c>
      <c r="G17" s="39" t="str">
        <f t="shared" si="1"/>
        <v>$O$4</v>
      </c>
      <c r="H17" s="39" t="str">
        <f t="shared" si="2"/>
        <v>'Projects'!$O$4</v>
      </c>
      <c r="I17" s="39" t="str">
        <f t="array" aca="1" ref="I17" ca="1">INDIRECT(H17)</f>
        <v>Local municipality</v>
      </c>
      <c r="J17" s="32"/>
      <c r="K17" s="3"/>
      <c r="L17" s="3"/>
    </row>
    <row r="18" spans="1:12" x14ac:dyDescent="0.3">
      <c r="A18" s="39" t="s">
        <v>135</v>
      </c>
      <c r="B18" s="39" t="s">
        <v>151</v>
      </c>
      <c r="C18" s="32"/>
      <c r="D18" s="39" t="s">
        <v>160</v>
      </c>
      <c r="E18" s="39">
        <f t="shared" si="0"/>
        <v>4</v>
      </c>
      <c r="F18" s="39">
        <v>16</v>
      </c>
      <c r="G18" s="39" t="str">
        <f t="shared" si="1"/>
        <v>$P$4</v>
      </c>
      <c r="H18" s="39" t="str">
        <f t="shared" si="2"/>
        <v>'Projects'!$P$4</v>
      </c>
      <c r="I18" s="39" t="str">
        <f t="array" aca="1" ref="I18" ca="1">INDIRECT(H18)</f>
        <v>Town</v>
      </c>
      <c r="J18" s="32"/>
      <c r="K18" s="3"/>
      <c r="L18" s="3"/>
    </row>
    <row r="19" spans="1:12" x14ac:dyDescent="0.3">
      <c r="A19" s="39" t="s">
        <v>135</v>
      </c>
      <c r="B19" s="39" t="s">
        <v>144</v>
      </c>
      <c r="C19" s="32"/>
      <c r="D19" s="39" t="s">
        <v>160</v>
      </c>
      <c r="E19" s="39">
        <f t="shared" si="0"/>
        <v>4</v>
      </c>
      <c r="F19" s="39">
        <v>17</v>
      </c>
      <c r="G19" s="39" t="str">
        <f t="shared" si="1"/>
        <v>$Q$4</v>
      </c>
      <c r="H19" s="39" t="str">
        <f t="shared" si="2"/>
        <v>'Projects'!$Q$4</v>
      </c>
      <c r="I19" s="39" t="str">
        <f t="array" aca="1" ref="I19" ca="1">INDIRECT(H19)</f>
        <v>GPS</v>
      </c>
      <c r="J19" s="32"/>
      <c r="K19" s="3"/>
      <c r="L19" s="3"/>
    </row>
    <row r="20" spans="1:12" x14ac:dyDescent="0.3">
      <c r="A20" s="39" t="s">
        <v>135</v>
      </c>
      <c r="B20" s="39" t="s">
        <v>145</v>
      </c>
      <c r="C20" s="32"/>
      <c r="D20" s="39" t="s">
        <v>160</v>
      </c>
      <c r="E20" s="39">
        <f t="shared" si="0"/>
        <v>4</v>
      </c>
      <c r="F20" s="39">
        <v>18</v>
      </c>
      <c r="G20" s="39" t="str">
        <f t="shared" si="1"/>
        <v>$R$4</v>
      </c>
      <c r="H20" s="39" t="str">
        <f t="shared" si="2"/>
        <v>'Projects'!$R$4</v>
      </c>
      <c r="I20" s="39" t="str">
        <f t="array" aca="1" ref="I20" ca="1">INDIRECT(H20)</f>
        <v>Name</v>
      </c>
      <c r="J20" s="32"/>
      <c r="K20" s="3"/>
      <c r="L20" s="3"/>
    </row>
    <row r="21" spans="1:12" x14ac:dyDescent="0.3">
      <c r="A21" s="39" t="s">
        <v>135</v>
      </c>
      <c r="B21" s="39" t="s">
        <v>146</v>
      </c>
      <c r="C21" s="32"/>
      <c r="D21" s="39" t="s">
        <v>160</v>
      </c>
      <c r="E21" s="39">
        <f t="shared" si="0"/>
        <v>4</v>
      </c>
      <c r="F21" s="39">
        <v>19</v>
      </c>
      <c r="G21" s="39" t="str">
        <f t="shared" si="1"/>
        <v>$S$4</v>
      </c>
      <c r="H21" s="39" t="str">
        <f t="shared" si="2"/>
        <v>'Projects'!$S$4</v>
      </c>
      <c r="I21" s="39" t="str">
        <f t="array" aca="1" ref="I21" ca="1">INDIRECT(H21)</f>
        <v>Organisation</v>
      </c>
      <c r="J21" s="32"/>
      <c r="K21" s="3"/>
      <c r="L21" s="3"/>
    </row>
    <row r="22" spans="1:12" x14ac:dyDescent="0.3">
      <c r="A22" s="39" t="s">
        <v>135</v>
      </c>
      <c r="B22" s="39" t="s">
        <v>147</v>
      </c>
      <c r="C22" s="32"/>
      <c r="D22" s="39" t="s">
        <v>160</v>
      </c>
      <c r="E22" s="39">
        <f t="shared" si="0"/>
        <v>4</v>
      </c>
      <c r="F22" s="39">
        <v>20</v>
      </c>
      <c r="G22" s="39" t="str">
        <f t="shared" si="1"/>
        <v>$T$4</v>
      </c>
      <c r="H22" s="39" t="str">
        <f t="shared" si="2"/>
        <v>'Projects'!$T$4</v>
      </c>
      <c r="I22" s="39" t="str">
        <f t="array" aca="1" ref="I22" ca="1">INDIRECT(H22)</f>
        <v>Position</v>
      </c>
      <c r="J22" s="32"/>
      <c r="K22" s="3"/>
      <c r="L22" s="3"/>
    </row>
    <row r="23" spans="1:12" x14ac:dyDescent="0.3">
      <c r="A23" s="39" t="s">
        <v>135</v>
      </c>
      <c r="B23" s="39" t="s">
        <v>148</v>
      </c>
      <c r="C23" s="32"/>
      <c r="D23" s="39" t="s">
        <v>160</v>
      </c>
      <c r="E23" s="39">
        <f t="shared" si="0"/>
        <v>4</v>
      </c>
      <c r="F23" s="39">
        <v>21</v>
      </c>
      <c r="G23" s="39" t="str">
        <f t="shared" si="1"/>
        <v>$U$4</v>
      </c>
      <c r="H23" s="39" t="str">
        <f t="shared" si="2"/>
        <v>'Projects'!$U$4</v>
      </c>
      <c r="I23" s="39" t="str">
        <f t="array" aca="1" ref="I23" ca="1">INDIRECT(H23)</f>
        <v>Email adress</v>
      </c>
      <c r="J23" s="32"/>
      <c r="K23" s="3"/>
      <c r="L23" s="3"/>
    </row>
    <row r="24" spans="1:12" x14ac:dyDescent="0.3">
      <c r="A24" s="39" t="s">
        <v>135</v>
      </c>
      <c r="B24" s="39" t="s">
        <v>149</v>
      </c>
      <c r="C24" s="32"/>
      <c r="D24" s="39" t="s">
        <v>160</v>
      </c>
      <c r="E24" s="39">
        <f t="shared" si="0"/>
        <v>4</v>
      </c>
      <c r="F24" s="39">
        <v>22</v>
      </c>
      <c r="G24" s="39" t="str">
        <f t="shared" si="1"/>
        <v>$V$4</v>
      </c>
      <c r="H24" s="39" t="str">
        <f t="shared" si="2"/>
        <v>'Projects'!$V$4</v>
      </c>
      <c r="I24" s="39" t="str">
        <f t="array" aca="1" ref="I24" ca="1">INDIRECT(H24)</f>
        <v>Telephone number</v>
      </c>
      <c r="J24" s="32"/>
      <c r="K24" s="3"/>
      <c r="L24" s="3"/>
    </row>
    <row r="25" spans="1:12" x14ac:dyDescent="0.3">
      <c r="A25" s="39" t="s">
        <v>135</v>
      </c>
      <c r="B25" s="39" t="s">
        <v>150</v>
      </c>
      <c r="C25" s="32"/>
      <c r="D25" s="39" t="s">
        <v>160</v>
      </c>
      <c r="E25" s="39">
        <f t="shared" si="0"/>
        <v>4</v>
      </c>
      <c r="F25" s="39">
        <v>23</v>
      </c>
      <c r="G25" s="39" t="str">
        <f t="shared" si="1"/>
        <v>$W$4</v>
      </c>
      <c r="H25" s="39" t="str">
        <f t="shared" si="2"/>
        <v>'Projects'!$W$4</v>
      </c>
      <c r="I25" s="39" t="str">
        <f t="array" aca="1" ref="I25" ca="1">INDIRECT(H25)</f>
        <v>Mobile number</v>
      </c>
      <c r="J25" s="32"/>
      <c r="K25" s="3"/>
      <c r="L25" s="3"/>
    </row>
    <row r="26" spans="1:12" x14ac:dyDescent="0.3">
      <c r="A26" s="40" t="s">
        <v>247</v>
      </c>
      <c r="B26" s="40" t="s">
        <v>167</v>
      </c>
      <c r="C26" s="32"/>
      <c r="D26" s="40" t="s">
        <v>160</v>
      </c>
      <c r="E26" s="40">
        <f t="shared" si="0"/>
        <v>4</v>
      </c>
      <c r="F26" s="40">
        <v>24</v>
      </c>
      <c r="G26" s="40" t="str">
        <f t="shared" si="1"/>
        <v>$X$4</v>
      </c>
      <c r="H26" s="40" t="str">
        <f t="shared" si="2"/>
        <v>'Projects'!$X$4</v>
      </c>
      <c r="I26" s="40" t="str">
        <f t="array" aca="1" ref="I26" ca="1">INDIRECT(H26)</f>
        <v>Host sector</v>
      </c>
      <c r="J26" s="32"/>
      <c r="K26" s="3"/>
      <c r="L26" s="3"/>
    </row>
    <row r="27" spans="1:12" x14ac:dyDescent="0.3">
      <c r="A27" s="40" t="s">
        <v>247</v>
      </c>
      <c r="B27" s="40" t="s">
        <v>168</v>
      </c>
      <c r="C27" s="32"/>
      <c r="D27" s="40" t="s">
        <v>160</v>
      </c>
      <c r="E27" s="40">
        <f t="shared" ref="E27:E90" si="3">$L$3</f>
        <v>4</v>
      </c>
      <c r="F27" s="40">
        <v>25</v>
      </c>
      <c r="G27" s="40" t="str">
        <f t="shared" si="1"/>
        <v>$Y$4</v>
      </c>
      <c r="H27" s="40" t="str">
        <f t="shared" si="2"/>
        <v>'Projects'!$Y$4</v>
      </c>
      <c r="I27" s="40" t="str">
        <f t="array" aca="1" ref="I27" ca="1">INDIRECT(H27)</f>
        <v>Host main sector</v>
      </c>
      <c r="J27" s="32"/>
      <c r="K27" s="3"/>
      <c r="L27" s="3"/>
    </row>
    <row r="28" spans="1:12" x14ac:dyDescent="0.3">
      <c r="A28" s="40" t="s">
        <v>247</v>
      </c>
      <c r="B28" s="40" t="s">
        <v>169</v>
      </c>
      <c r="C28" s="32"/>
      <c r="D28" s="40" t="s">
        <v>160</v>
      </c>
      <c r="E28" s="40">
        <f t="shared" si="3"/>
        <v>4</v>
      </c>
      <c r="F28" s="40">
        <v>26</v>
      </c>
      <c r="G28" s="40" t="str">
        <f t="shared" si="1"/>
        <v>$Z$4</v>
      </c>
      <c r="H28" s="40" t="str">
        <f t="shared" si="2"/>
        <v>'Projects'!$Z$4</v>
      </c>
      <c r="I28" s="40" t="str">
        <f t="array" aca="1" ref="I28" ca="1">INDIRECT(H28)</f>
        <v>Host subsector</v>
      </c>
      <c r="J28" s="32"/>
      <c r="K28" s="3"/>
      <c r="L28" s="3"/>
    </row>
    <row r="29" spans="1:12" x14ac:dyDescent="0.3">
      <c r="A29" s="40" t="s">
        <v>247</v>
      </c>
      <c r="B29" s="40" t="s">
        <v>170</v>
      </c>
      <c r="C29" s="32"/>
      <c r="D29" s="40" t="s">
        <v>160</v>
      </c>
      <c r="E29" s="40">
        <f t="shared" si="3"/>
        <v>4</v>
      </c>
      <c r="F29" s="40">
        <v>27</v>
      </c>
      <c r="G29" s="40" t="str">
        <f t="shared" si="1"/>
        <v>$AA$4</v>
      </c>
      <c r="H29" s="40" t="str">
        <f t="shared" si="2"/>
        <v>'Projects'!$AA$4</v>
      </c>
      <c r="I29" s="40" t="str">
        <f t="array" aca="1" ref="I29" ca="1">INDIRECT(H29)</f>
        <v>Mitigation type</v>
      </c>
      <c r="J29" s="32"/>
      <c r="K29" s="3"/>
      <c r="L29" s="3"/>
    </row>
    <row r="30" spans="1:12" x14ac:dyDescent="0.3">
      <c r="A30" s="40" t="s">
        <v>247</v>
      </c>
      <c r="B30" s="40" t="s">
        <v>171</v>
      </c>
      <c r="C30" s="32"/>
      <c r="D30" s="40" t="s">
        <v>160</v>
      </c>
      <c r="E30" s="40">
        <f t="shared" si="3"/>
        <v>4</v>
      </c>
      <c r="F30" s="40">
        <v>28</v>
      </c>
      <c r="G30" s="40" t="str">
        <f t="shared" si="1"/>
        <v>$AB$4</v>
      </c>
      <c r="H30" s="40" t="str">
        <f t="shared" si="2"/>
        <v>'Projects'!$AB$4</v>
      </c>
      <c r="I30" s="40" t="str">
        <f t="array" aca="1" ref="I30" ca="1">INDIRECT(H30)</f>
        <v>Mitigation subtype</v>
      </c>
      <c r="J30" s="32"/>
      <c r="K30" s="3"/>
      <c r="L30" s="3"/>
    </row>
    <row r="31" spans="1:12" x14ac:dyDescent="0.3">
      <c r="A31" s="40" t="s">
        <v>247</v>
      </c>
      <c r="B31" s="40" t="s">
        <v>129</v>
      </c>
      <c r="C31" s="32"/>
      <c r="D31" s="40" t="s">
        <v>160</v>
      </c>
      <c r="E31" s="40">
        <f t="shared" si="3"/>
        <v>4</v>
      </c>
      <c r="F31" s="40">
        <v>29</v>
      </c>
      <c r="G31" s="40" t="str">
        <f t="shared" si="1"/>
        <v>$AC$4</v>
      </c>
      <c r="H31" s="40" t="str">
        <f t="shared" si="2"/>
        <v>'Projects'!$AC$4</v>
      </c>
      <c r="I31" s="40" t="str">
        <f t="array" aca="1" ref="I31" ca="1">INDIRECT(H31)</f>
        <v>Mitigation program</v>
      </c>
      <c r="J31" s="32"/>
      <c r="K31" s="3"/>
      <c r="L31" s="3"/>
    </row>
    <row r="32" spans="1:12" x14ac:dyDescent="0.3">
      <c r="A32" s="40" t="s">
        <v>247</v>
      </c>
      <c r="B32" s="40" t="s">
        <v>172</v>
      </c>
      <c r="C32" s="32"/>
      <c r="D32" s="40" t="s">
        <v>160</v>
      </c>
      <c r="E32" s="40">
        <f t="shared" si="3"/>
        <v>4</v>
      </c>
      <c r="F32" s="40">
        <v>30</v>
      </c>
      <c r="G32" s="40" t="str">
        <f t="shared" si="1"/>
        <v>$AD$4</v>
      </c>
      <c r="H32" s="40" t="str">
        <f t="shared" si="2"/>
        <v>'Projects'!$AD$4</v>
      </c>
      <c r="I32" s="40" t="str">
        <f t="array" aca="1" ref="I32" ca="1">INDIRECT(H32)</f>
        <v>National policy</v>
      </c>
      <c r="J32" s="32"/>
      <c r="K32" s="3"/>
      <c r="L32" s="3"/>
    </row>
    <row r="33" spans="1:12" x14ac:dyDescent="0.3">
      <c r="A33" s="40" t="s">
        <v>247</v>
      </c>
      <c r="B33" s="40" t="s">
        <v>173</v>
      </c>
      <c r="C33" s="32"/>
      <c r="D33" s="40" t="s">
        <v>160</v>
      </c>
      <c r="E33" s="40">
        <f t="shared" si="3"/>
        <v>4</v>
      </c>
      <c r="F33" s="40">
        <v>31</v>
      </c>
      <c r="G33" s="40" t="str">
        <f t="shared" si="1"/>
        <v>$AE$4</v>
      </c>
      <c r="H33" s="40" t="str">
        <f t="shared" si="2"/>
        <v>'Projects'!$AE$4</v>
      </c>
      <c r="I33" s="40" t="str">
        <f t="array" aca="1" ref="I33" ca="1">INDIRECT(H33)</f>
        <v>National policy description</v>
      </c>
      <c r="J33" s="32"/>
      <c r="K33" s="3"/>
      <c r="L33" s="3"/>
    </row>
    <row r="34" spans="1:12" x14ac:dyDescent="0.3">
      <c r="A34" s="40" t="s">
        <v>247</v>
      </c>
      <c r="B34" s="40" t="s">
        <v>174</v>
      </c>
      <c r="C34" s="32"/>
      <c r="D34" s="40" t="s">
        <v>160</v>
      </c>
      <c r="E34" s="40">
        <f t="shared" si="3"/>
        <v>4</v>
      </c>
      <c r="F34" s="40">
        <v>32</v>
      </c>
      <c r="G34" s="40" t="str">
        <f t="shared" si="1"/>
        <v>$AF$4</v>
      </c>
      <c r="H34" s="40" t="str">
        <f t="shared" si="2"/>
        <v>'Projects'!$AF$4</v>
      </c>
      <c r="I34" s="40" t="str">
        <f t="array" aca="1" ref="I34" ca="1">INDIRECT(H34)</f>
        <v>Regional policy</v>
      </c>
      <c r="J34" s="32"/>
      <c r="K34" s="3"/>
      <c r="L34" s="3"/>
    </row>
    <row r="35" spans="1:12" x14ac:dyDescent="0.3">
      <c r="A35" s="40" t="s">
        <v>247</v>
      </c>
      <c r="B35" s="40" t="s">
        <v>175</v>
      </c>
      <c r="C35" s="32"/>
      <c r="D35" s="40" t="s">
        <v>160</v>
      </c>
      <c r="E35" s="40">
        <f t="shared" si="3"/>
        <v>4</v>
      </c>
      <c r="F35" s="40">
        <v>33</v>
      </c>
      <c r="G35" s="40" t="str">
        <f t="shared" si="1"/>
        <v>$AG$4</v>
      </c>
      <c r="H35" s="40" t="str">
        <f t="shared" si="2"/>
        <v>'Projects'!$AG$4</v>
      </c>
      <c r="I35" s="40" t="str">
        <f t="array" aca="1" ref="I35" ca="1">INDIRECT(H35)</f>
        <v>Regional policy description</v>
      </c>
      <c r="J35" s="32"/>
      <c r="K35" s="3"/>
      <c r="L35" s="3"/>
    </row>
    <row r="36" spans="1:12" x14ac:dyDescent="0.3">
      <c r="A36" s="40" t="s">
        <v>247</v>
      </c>
      <c r="B36" s="40" t="s">
        <v>176</v>
      </c>
      <c r="C36" s="32"/>
      <c r="D36" s="40" t="s">
        <v>160</v>
      </c>
      <c r="E36" s="40">
        <f t="shared" si="3"/>
        <v>4</v>
      </c>
      <c r="F36" s="40">
        <v>34</v>
      </c>
      <c r="G36" s="40" t="str">
        <f t="shared" si="1"/>
        <v>$AH$4</v>
      </c>
      <c r="H36" s="40" t="str">
        <f t="shared" si="2"/>
        <v>'Projects'!$AH$4</v>
      </c>
      <c r="I36" s="40" t="str">
        <f t="array" aca="1" ref="I36" ca="1">INDIRECT(H36)</f>
        <v>Intended outcome</v>
      </c>
      <c r="J36" s="32"/>
      <c r="K36" s="3"/>
      <c r="L36" s="3"/>
    </row>
    <row r="37" spans="1:12" x14ac:dyDescent="0.3">
      <c r="A37" s="40" t="s">
        <v>247</v>
      </c>
      <c r="B37" s="40" t="s">
        <v>197</v>
      </c>
      <c r="C37" s="32"/>
      <c r="D37" s="40" t="s">
        <v>160</v>
      </c>
      <c r="E37" s="40">
        <f t="shared" si="3"/>
        <v>4</v>
      </c>
      <c r="F37" s="40">
        <v>35</v>
      </c>
      <c r="G37" s="40" t="str">
        <f t="shared" si="1"/>
        <v>$AI$4</v>
      </c>
      <c r="H37" s="40" t="str">
        <f t="shared" si="2"/>
        <v>'Projects'!$AI$4</v>
      </c>
      <c r="I37" s="40" t="str">
        <f t="array" aca="1" ref="I37" ca="1">INDIRECT(H37)</f>
        <v>Year_1</v>
      </c>
      <c r="J37" s="32"/>
      <c r="K37" s="3"/>
      <c r="L37" s="3"/>
    </row>
    <row r="38" spans="1:12" x14ac:dyDescent="0.3">
      <c r="A38" s="40" t="s">
        <v>247</v>
      </c>
      <c r="B38" s="40" t="s">
        <v>198</v>
      </c>
      <c r="C38" s="32"/>
      <c r="D38" s="40" t="s">
        <v>160</v>
      </c>
      <c r="E38" s="40">
        <f t="shared" si="3"/>
        <v>4</v>
      </c>
      <c r="F38" s="40">
        <v>36</v>
      </c>
      <c r="G38" s="40" t="str">
        <f t="shared" si="1"/>
        <v>$AJ$4</v>
      </c>
      <c r="H38" s="40" t="str">
        <f t="shared" si="2"/>
        <v>'Projects'!$AJ$4</v>
      </c>
      <c r="I38" s="40" t="str">
        <f t="array" aca="1" ref="I38" ca="1">INDIRECT(H38)</f>
        <v>Year_2</v>
      </c>
      <c r="J38" s="32"/>
      <c r="K38" s="3"/>
      <c r="L38" s="3"/>
    </row>
    <row r="39" spans="1:12" x14ac:dyDescent="0.3">
      <c r="A39" s="40" t="s">
        <v>247</v>
      </c>
      <c r="B39" s="40" t="s">
        <v>199</v>
      </c>
      <c r="C39" s="32"/>
      <c r="D39" s="40" t="s">
        <v>160</v>
      </c>
      <c r="E39" s="40">
        <f t="shared" si="3"/>
        <v>4</v>
      </c>
      <c r="F39" s="40">
        <v>37</v>
      </c>
      <c r="G39" s="40" t="str">
        <f t="shared" si="1"/>
        <v>$AK$4</v>
      </c>
      <c r="H39" s="40" t="str">
        <f t="shared" si="2"/>
        <v>'Projects'!$AK$4</v>
      </c>
      <c r="I39" s="40" t="str">
        <f t="array" aca="1" ref="I39" ca="1">INDIRECT(H39)</f>
        <v>Year_3</v>
      </c>
      <c r="J39" s="32"/>
      <c r="K39" s="3"/>
      <c r="L39" s="3"/>
    </row>
    <row r="40" spans="1:12" x14ac:dyDescent="0.3">
      <c r="A40" s="40" t="s">
        <v>247</v>
      </c>
      <c r="B40" s="40" t="s">
        <v>200</v>
      </c>
      <c r="C40" s="32"/>
      <c r="D40" s="40" t="s">
        <v>160</v>
      </c>
      <c r="E40" s="40">
        <f t="shared" si="3"/>
        <v>4</v>
      </c>
      <c r="F40" s="40">
        <v>38</v>
      </c>
      <c r="G40" s="40" t="str">
        <f t="shared" si="1"/>
        <v>$AL$4</v>
      </c>
      <c r="H40" s="40" t="str">
        <f t="shared" si="2"/>
        <v>'Projects'!$AL$4</v>
      </c>
      <c r="I40" s="40" t="str">
        <f t="array" aca="1" ref="I40" ca="1">INDIRECT(H40)</f>
        <v>Year_4</v>
      </c>
      <c r="J40" s="32"/>
      <c r="K40" s="3"/>
      <c r="L40" s="3"/>
    </row>
    <row r="41" spans="1:12" x14ac:dyDescent="0.3">
      <c r="A41" s="40" t="s">
        <v>247</v>
      </c>
      <c r="B41" s="40" t="s">
        <v>201</v>
      </c>
      <c r="C41" s="32"/>
      <c r="D41" s="40" t="s">
        <v>160</v>
      </c>
      <c r="E41" s="40">
        <f t="shared" si="3"/>
        <v>4</v>
      </c>
      <c r="F41" s="40">
        <v>39</v>
      </c>
      <c r="G41" s="40" t="str">
        <f t="shared" si="1"/>
        <v>$AM$4</v>
      </c>
      <c r="H41" s="40" t="str">
        <f t="shared" si="2"/>
        <v>'Projects'!$AM$4</v>
      </c>
      <c r="I41" s="40" t="str">
        <f t="array" aca="1" ref="I41" ca="1">INDIRECT(H41)</f>
        <v>Year_5</v>
      </c>
      <c r="J41" s="32"/>
      <c r="K41" s="3"/>
      <c r="L41" s="3"/>
    </row>
    <row r="42" spans="1:12" x14ac:dyDescent="0.3">
      <c r="A42" s="40" t="s">
        <v>247</v>
      </c>
      <c r="B42" s="40" t="s">
        <v>202</v>
      </c>
      <c r="C42" s="32"/>
      <c r="D42" s="40" t="s">
        <v>160</v>
      </c>
      <c r="E42" s="40">
        <f t="shared" si="3"/>
        <v>4</v>
      </c>
      <c r="F42" s="40">
        <v>40</v>
      </c>
      <c r="G42" s="40" t="str">
        <f t="shared" si="1"/>
        <v>$AN$4</v>
      </c>
      <c r="H42" s="40" t="str">
        <f t="shared" si="2"/>
        <v>'Projects'!$AN$4</v>
      </c>
      <c r="I42" s="40" t="str">
        <f t="array" aca="1" ref="I42" ca="1">INDIRECT(H42)</f>
        <v>Year_6</v>
      </c>
      <c r="J42" s="32"/>
      <c r="K42" s="3"/>
      <c r="L42" s="3"/>
    </row>
    <row r="43" spans="1:12" x14ac:dyDescent="0.3">
      <c r="A43" s="40" t="s">
        <v>247</v>
      </c>
      <c r="B43" s="40" t="s">
        <v>203</v>
      </c>
      <c r="C43" s="32"/>
      <c r="D43" s="40" t="s">
        <v>160</v>
      </c>
      <c r="E43" s="40">
        <f t="shared" si="3"/>
        <v>4</v>
      </c>
      <c r="F43" s="40">
        <v>41</v>
      </c>
      <c r="G43" s="40" t="str">
        <f t="shared" si="1"/>
        <v>$AO$4</v>
      </c>
      <c r="H43" s="40" t="str">
        <f t="shared" si="2"/>
        <v>'Projects'!$AO$4</v>
      </c>
      <c r="I43" s="40" t="str">
        <f t="array" aca="1" ref="I43" ca="1">INDIRECT(H43)</f>
        <v>Year_7</v>
      </c>
      <c r="J43" s="32"/>
      <c r="K43" s="3"/>
      <c r="L43" s="3"/>
    </row>
    <row r="44" spans="1:12" x14ac:dyDescent="0.3">
      <c r="A44" s="40" t="s">
        <v>247</v>
      </c>
      <c r="B44" s="40" t="s">
        <v>204</v>
      </c>
      <c r="C44" s="32"/>
      <c r="D44" s="40" t="s">
        <v>160</v>
      </c>
      <c r="E44" s="40">
        <f t="shared" si="3"/>
        <v>4</v>
      </c>
      <c r="F44" s="40">
        <v>42</v>
      </c>
      <c r="G44" s="40" t="str">
        <f t="shared" si="1"/>
        <v>$AP$4</v>
      </c>
      <c r="H44" s="40" t="str">
        <f t="shared" si="2"/>
        <v>'Projects'!$AP$4</v>
      </c>
      <c r="I44" s="40" t="str">
        <f t="array" aca="1" ref="I44" ca="1">INDIRECT(H44)</f>
        <v>Year_8</v>
      </c>
      <c r="J44" s="32"/>
      <c r="K44" s="3"/>
      <c r="L44" s="3"/>
    </row>
    <row r="45" spans="1:12" x14ac:dyDescent="0.3">
      <c r="A45" s="40" t="s">
        <v>247</v>
      </c>
      <c r="B45" s="40" t="s">
        <v>205</v>
      </c>
      <c r="C45" s="32"/>
      <c r="D45" s="40" t="s">
        <v>160</v>
      </c>
      <c r="E45" s="40">
        <f t="shared" si="3"/>
        <v>4</v>
      </c>
      <c r="F45" s="40">
        <v>43</v>
      </c>
      <c r="G45" s="40" t="str">
        <f t="shared" si="1"/>
        <v>$AQ$4</v>
      </c>
      <c r="H45" s="40" t="str">
        <f t="shared" si="2"/>
        <v>'Projects'!$AQ$4</v>
      </c>
      <c r="I45" s="40" t="str">
        <f t="array" aca="1" ref="I45" ca="1">INDIRECT(H45)</f>
        <v>Year_9</v>
      </c>
      <c r="J45" s="32"/>
      <c r="K45" s="3"/>
      <c r="L45" s="3"/>
    </row>
    <row r="46" spans="1:12" x14ac:dyDescent="0.3">
      <c r="A46" s="40" t="s">
        <v>247</v>
      </c>
      <c r="B46" s="40" t="s">
        <v>206</v>
      </c>
      <c r="C46" s="32"/>
      <c r="D46" s="40" t="s">
        <v>160</v>
      </c>
      <c r="E46" s="40">
        <f t="shared" si="3"/>
        <v>4</v>
      </c>
      <c r="F46" s="40">
        <v>44</v>
      </c>
      <c r="G46" s="40" t="str">
        <f t="shared" si="1"/>
        <v>$AR$4</v>
      </c>
      <c r="H46" s="40" t="str">
        <f t="shared" si="2"/>
        <v>'Projects'!$AR$4</v>
      </c>
      <c r="I46" s="40" t="str">
        <f t="array" aca="1" ref="I46" ca="1">INDIRECT(H46)</f>
        <v>Year_10</v>
      </c>
      <c r="J46" s="32"/>
      <c r="K46" s="3"/>
      <c r="L46" s="3"/>
    </row>
    <row r="47" spans="1:12" x14ac:dyDescent="0.3">
      <c r="A47" s="40" t="s">
        <v>247</v>
      </c>
      <c r="B47" s="40" t="s">
        <v>207</v>
      </c>
      <c r="C47" s="32"/>
      <c r="D47" s="40" t="s">
        <v>160</v>
      </c>
      <c r="E47" s="40">
        <f t="shared" si="3"/>
        <v>4</v>
      </c>
      <c r="F47" s="40">
        <v>45</v>
      </c>
      <c r="G47" s="40" t="str">
        <f t="shared" si="1"/>
        <v>$AS$4</v>
      </c>
      <c r="H47" s="40" t="str">
        <f t="shared" si="2"/>
        <v>'Projects'!$AS$4</v>
      </c>
      <c r="I47" s="40" t="str">
        <f t="array" aca="1" ref="I47" ca="1">INDIRECT(H47)</f>
        <v>Amount_1</v>
      </c>
      <c r="J47" s="32"/>
      <c r="K47" s="3"/>
      <c r="L47" s="3"/>
    </row>
    <row r="48" spans="1:12" x14ac:dyDescent="0.3">
      <c r="A48" s="40" t="s">
        <v>247</v>
      </c>
      <c r="B48" s="40" t="s">
        <v>208</v>
      </c>
      <c r="C48" s="32"/>
      <c r="D48" s="40" t="s">
        <v>160</v>
      </c>
      <c r="E48" s="40">
        <f t="shared" si="3"/>
        <v>4</v>
      </c>
      <c r="F48" s="40">
        <v>46</v>
      </c>
      <c r="G48" s="40" t="str">
        <f t="shared" si="1"/>
        <v>$AT$4</v>
      </c>
      <c r="H48" s="40" t="str">
        <f t="shared" si="2"/>
        <v>'Projects'!$AT$4</v>
      </c>
      <c r="I48" s="40" t="str">
        <f t="array" aca="1" ref="I48" ca="1">INDIRECT(H48)</f>
        <v>Amount_2</v>
      </c>
      <c r="J48" s="32"/>
      <c r="K48" s="3"/>
      <c r="L48" s="3"/>
    </row>
    <row r="49" spans="1:12" x14ac:dyDescent="0.3">
      <c r="A49" s="40" t="s">
        <v>247</v>
      </c>
      <c r="B49" s="40" t="s">
        <v>209</v>
      </c>
      <c r="C49" s="32"/>
      <c r="D49" s="40" t="s">
        <v>160</v>
      </c>
      <c r="E49" s="40">
        <f t="shared" si="3"/>
        <v>4</v>
      </c>
      <c r="F49" s="40">
        <v>47</v>
      </c>
      <c r="G49" s="40" t="str">
        <f t="shared" si="1"/>
        <v>$AU$4</v>
      </c>
      <c r="H49" s="40" t="str">
        <f t="shared" si="2"/>
        <v>'Projects'!$AU$4</v>
      </c>
      <c r="I49" s="40" t="str">
        <f t="array" aca="1" ref="I49" ca="1">INDIRECT(H49)</f>
        <v>Amount_3</v>
      </c>
      <c r="J49" s="32"/>
      <c r="K49" s="3"/>
      <c r="L49" s="3"/>
    </row>
    <row r="50" spans="1:12" x14ac:dyDescent="0.3">
      <c r="A50" s="40" t="s">
        <v>247</v>
      </c>
      <c r="B50" s="40" t="s">
        <v>210</v>
      </c>
      <c r="C50" s="32"/>
      <c r="D50" s="40" t="s">
        <v>160</v>
      </c>
      <c r="E50" s="40">
        <f t="shared" si="3"/>
        <v>4</v>
      </c>
      <c r="F50" s="40">
        <v>48</v>
      </c>
      <c r="G50" s="40" t="str">
        <f t="shared" ref="G50:G98" si="4">ADDRESS(E50,F50)</f>
        <v>$AV$4</v>
      </c>
      <c r="H50" s="40" t="str">
        <f t="shared" ref="H50:H98" si="5">_xlfn.CONCAT("'" &amp; D50 &amp; "'!" &amp; G50)</f>
        <v>'Projects'!$AV$4</v>
      </c>
      <c r="I50" s="40" t="str">
        <f t="array" aca="1" ref="I50" ca="1">INDIRECT(H50)</f>
        <v>Amount_4</v>
      </c>
      <c r="J50" s="32"/>
      <c r="K50" s="3"/>
      <c r="L50" s="3"/>
    </row>
    <row r="51" spans="1:12" x14ac:dyDescent="0.3">
      <c r="A51" s="40" t="s">
        <v>247</v>
      </c>
      <c r="B51" s="40" t="s">
        <v>211</v>
      </c>
      <c r="C51" s="32"/>
      <c r="D51" s="40" t="s">
        <v>160</v>
      </c>
      <c r="E51" s="40">
        <f t="shared" si="3"/>
        <v>4</v>
      </c>
      <c r="F51" s="40">
        <v>49</v>
      </c>
      <c r="G51" s="40" t="str">
        <f t="shared" si="4"/>
        <v>$AW$4</v>
      </c>
      <c r="H51" s="40" t="str">
        <f t="shared" si="5"/>
        <v>'Projects'!$AW$4</v>
      </c>
      <c r="I51" s="40" t="str">
        <f t="array" aca="1" ref="I51" ca="1">INDIRECT(H51)</f>
        <v>Amount_5</v>
      </c>
      <c r="J51" s="32"/>
      <c r="K51" s="3"/>
      <c r="L51" s="3"/>
    </row>
    <row r="52" spans="1:12" x14ac:dyDescent="0.3">
      <c r="A52" s="40" t="s">
        <v>247</v>
      </c>
      <c r="B52" s="40" t="s">
        <v>212</v>
      </c>
      <c r="C52" s="32"/>
      <c r="D52" s="40" t="s">
        <v>160</v>
      </c>
      <c r="E52" s="40">
        <f t="shared" si="3"/>
        <v>4</v>
      </c>
      <c r="F52" s="40">
        <v>50</v>
      </c>
      <c r="G52" s="40" t="str">
        <f t="shared" si="4"/>
        <v>$AX$4</v>
      </c>
      <c r="H52" s="40" t="str">
        <f t="shared" si="5"/>
        <v>'Projects'!$AX$4</v>
      </c>
      <c r="I52" s="40" t="str">
        <f t="array" aca="1" ref="I52" ca="1">INDIRECT(H52)</f>
        <v>Amount_6</v>
      </c>
      <c r="J52" s="32"/>
      <c r="K52" s="3"/>
      <c r="L52" s="3"/>
    </row>
    <row r="53" spans="1:12" x14ac:dyDescent="0.3">
      <c r="A53" s="40" t="s">
        <v>247</v>
      </c>
      <c r="B53" s="40" t="s">
        <v>213</v>
      </c>
      <c r="C53" s="32"/>
      <c r="D53" s="40" t="s">
        <v>160</v>
      </c>
      <c r="E53" s="40">
        <f t="shared" si="3"/>
        <v>4</v>
      </c>
      <c r="F53" s="40">
        <v>51</v>
      </c>
      <c r="G53" s="40" t="str">
        <f t="shared" si="4"/>
        <v>$AY$4</v>
      </c>
      <c r="H53" s="40" t="str">
        <f t="shared" si="5"/>
        <v>'Projects'!$AY$4</v>
      </c>
      <c r="I53" s="40" t="str">
        <f t="array" aca="1" ref="I53" ca="1">INDIRECT(H53)</f>
        <v>Amount_7</v>
      </c>
      <c r="J53" s="32"/>
      <c r="K53" s="3"/>
      <c r="L53" s="3"/>
    </row>
    <row r="54" spans="1:12" x14ac:dyDescent="0.3">
      <c r="A54" s="40" t="s">
        <v>247</v>
      </c>
      <c r="B54" s="40" t="s">
        <v>214</v>
      </c>
      <c r="C54" s="32"/>
      <c r="D54" s="40" t="s">
        <v>160</v>
      </c>
      <c r="E54" s="40">
        <f t="shared" si="3"/>
        <v>4</v>
      </c>
      <c r="F54" s="40">
        <v>52</v>
      </c>
      <c r="G54" s="40" t="str">
        <f t="shared" si="4"/>
        <v>$AZ$4</v>
      </c>
      <c r="H54" s="40" t="str">
        <f t="shared" si="5"/>
        <v>'Projects'!$AZ$4</v>
      </c>
      <c r="I54" s="40" t="str">
        <f t="array" aca="1" ref="I54" ca="1">INDIRECT(H54)</f>
        <v>Amount_8</v>
      </c>
      <c r="J54" s="32"/>
      <c r="K54" s="3"/>
      <c r="L54" s="3"/>
    </row>
    <row r="55" spans="1:12" x14ac:dyDescent="0.3">
      <c r="A55" s="40" t="s">
        <v>247</v>
      </c>
      <c r="B55" s="40" t="s">
        <v>215</v>
      </c>
      <c r="C55" s="32"/>
      <c r="D55" s="40" t="s">
        <v>160</v>
      </c>
      <c r="E55" s="40">
        <f t="shared" si="3"/>
        <v>4</v>
      </c>
      <c r="F55" s="40">
        <v>53</v>
      </c>
      <c r="G55" s="40" t="str">
        <f t="shared" si="4"/>
        <v>$BA$4</v>
      </c>
      <c r="H55" s="40" t="str">
        <f t="shared" si="5"/>
        <v>'Projects'!$BA$4</v>
      </c>
      <c r="I55" s="40" t="str">
        <f t="array" aca="1" ref="I55" ca="1">INDIRECT(H55)</f>
        <v>Amount_9</v>
      </c>
      <c r="J55" s="32"/>
      <c r="K55" s="3"/>
      <c r="L55" s="3"/>
    </row>
    <row r="56" spans="1:12" x14ac:dyDescent="0.3">
      <c r="A56" s="40" t="s">
        <v>247</v>
      </c>
      <c r="B56" s="40" t="s">
        <v>216</v>
      </c>
      <c r="C56" s="32"/>
      <c r="D56" s="40" t="s">
        <v>160</v>
      </c>
      <c r="E56" s="40">
        <f t="shared" si="3"/>
        <v>4</v>
      </c>
      <c r="F56" s="40">
        <v>54</v>
      </c>
      <c r="G56" s="40" t="str">
        <f t="shared" si="4"/>
        <v>$BB$4</v>
      </c>
      <c r="H56" s="40" t="str">
        <f t="shared" si="5"/>
        <v>'Projects'!$BB$4</v>
      </c>
      <c r="I56" s="40" t="str">
        <f t="array" aca="1" ref="I56" ca="1">INDIRECT(H56)</f>
        <v>Amount_10</v>
      </c>
      <c r="J56" s="32"/>
      <c r="K56" s="3"/>
      <c r="L56" s="3"/>
    </row>
    <row r="57" spans="1:12" x14ac:dyDescent="0.3">
      <c r="A57" s="40" t="s">
        <v>247</v>
      </c>
      <c r="B57" s="40" t="s">
        <v>217</v>
      </c>
      <c r="C57" s="32"/>
      <c r="D57" s="40" t="s">
        <v>160</v>
      </c>
      <c r="E57" s="40">
        <f t="shared" si="3"/>
        <v>4</v>
      </c>
      <c r="F57" s="40">
        <v>55</v>
      </c>
      <c r="G57" s="40" t="str">
        <f t="shared" si="4"/>
        <v>$BC$4</v>
      </c>
      <c r="H57" s="40" t="str">
        <f t="shared" si="5"/>
        <v>'Projects'!$BC$4</v>
      </c>
      <c r="I57" s="40" t="str">
        <f t="array" aca="1" ref="I57" ca="1">INDIRECT(H57)</f>
        <v>Unit_1</v>
      </c>
      <c r="J57" s="32"/>
      <c r="K57" s="3"/>
      <c r="L57" s="3"/>
    </row>
    <row r="58" spans="1:12" x14ac:dyDescent="0.3">
      <c r="A58" s="40" t="s">
        <v>247</v>
      </c>
      <c r="B58" s="40" t="s">
        <v>218</v>
      </c>
      <c r="C58" s="32"/>
      <c r="D58" s="40" t="s">
        <v>160</v>
      </c>
      <c r="E58" s="40">
        <f t="shared" si="3"/>
        <v>4</v>
      </c>
      <c r="F58" s="40">
        <v>56</v>
      </c>
      <c r="G58" s="40" t="str">
        <f t="shared" si="4"/>
        <v>$BD$4</v>
      </c>
      <c r="H58" s="40" t="str">
        <f t="shared" si="5"/>
        <v>'Projects'!$BD$4</v>
      </c>
      <c r="I58" s="40" t="str">
        <f t="array" aca="1" ref="I58" ca="1">INDIRECT(H58)</f>
        <v>Unit_2</v>
      </c>
      <c r="J58" s="32"/>
      <c r="K58" s="3"/>
      <c r="L58" s="3"/>
    </row>
    <row r="59" spans="1:12" x14ac:dyDescent="0.3">
      <c r="A59" s="40" t="s">
        <v>247</v>
      </c>
      <c r="B59" s="40" t="s">
        <v>219</v>
      </c>
      <c r="C59" s="32"/>
      <c r="D59" s="40" t="s">
        <v>160</v>
      </c>
      <c r="E59" s="40">
        <f t="shared" si="3"/>
        <v>4</v>
      </c>
      <c r="F59" s="40">
        <v>57</v>
      </c>
      <c r="G59" s="40" t="str">
        <f t="shared" si="4"/>
        <v>$BE$4</v>
      </c>
      <c r="H59" s="40" t="str">
        <f t="shared" si="5"/>
        <v>'Projects'!$BE$4</v>
      </c>
      <c r="I59" s="40" t="str">
        <f t="array" aca="1" ref="I59" ca="1">INDIRECT(H59)</f>
        <v>Unit_3</v>
      </c>
      <c r="J59" s="32"/>
      <c r="K59" s="3"/>
      <c r="L59" s="3"/>
    </row>
    <row r="60" spans="1:12" x14ac:dyDescent="0.3">
      <c r="A60" s="40" t="s">
        <v>247</v>
      </c>
      <c r="B60" s="40" t="s">
        <v>220</v>
      </c>
      <c r="C60" s="32"/>
      <c r="D60" s="40" t="s">
        <v>160</v>
      </c>
      <c r="E60" s="40">
        <f t="shared" si="3"/>
        <v>4</v>
      </c>
      <c r="F60" s="40">
        <v>58</v>
      </c>
      <c r="G60" s="40" t="str">
        <f t="shared" si="4"/>
        <v>$BF$4</v>
      </c>
      <c r="H60" s="40" t="str">
        <f t="shared" si="5"/>
        <v>'Projects'!$BF$4</v>
      </c>
      <c r="I60" s="40" t="str">
        <f t="array" aca="1" ref="I60" ca="1">INDIRECT(H60)</f>
        <v>Unit_4</v>
      </c>
      <c r="J60" s="32"/>
      <c r="K60" s="3"/>
      <c r="L60" s="3"/>
    </row>
    <row r="61" spans="1:12" x14ac:dyDescent="0.3">
      <c r="A61" s="40" t="s">
        <v>247</v>
      </c>
      <c r="B61" s="40" t="s">
        <v>221</v>
      </c>
      <c r="C61" s="32"/>
      <c r="D61" s="40" t="s">
        <v>160</v>
      </c>
      <c r="E61" s="40">
        <f t="shared" si="3"/>
        <v>4</v>
      </c>
      <c r="F61" s="40">
        <v>59</v>
      </c>
      <c r="G61" s="40" t="str">
        <f t="shared" si="4"/>
        <v>$BG$4</v>
      </c>
      <c r="H61" s="40" t="str">
        <f t="shared" si="5"/>
        <v>'Projects'!$BG$4</v>
      </c>
      <c r="I61" s="40" t="str">
        <f t="array" aca="1" ref="I61" ca="1">INDIRECT(H61)</f>
        <v>Unit_5</v>
      </c>
      <c r="J61" s="32"/>
      <c r="K61" s="3"/>
      <c r="L61" s="3"/>
    </row>
    <row r="62" spans="1:12" x14ac:dyDescent="0.3">
      <c r="A62" s="40" t="s">
        <v>247</v>
      </c>
      <c r="B62" s="40" t="s">
        <v>222</v>
      </c>
      <c r="C62" s="32"/>
      <c r="D62" s="40" t="s">
        <v>160</v>
      </c>
      <c r="E62" s="40">
        <f t="shared" si="3"/>
        <v>4</v>
      </c>
      <c r="F62" s="40">
        <v>60</v>
      </c>
      <c r="G62" s="40" t="str">
        <f t="shared" si="4"/>
        <v>$BH$4</v>
      </c>
      <c r="H62" s="40" t="str">
        <f t="shared" si="5"/>
        <v>'Projects'!$BH$4</v>
      </c>
      <c r="I62" s="40" t="str">
        <f t="array" aca="1" ref="I62" ca="1">INDIRECT(H62)</f>
        <v>Unit_6</v>
      </c>
      <c r="J62" s="32"/>
      <c r="K62" s="3"/>
      <c r="L62" s="3"/>
    </row>
    <row r="63" spans="1:12" x14ac:dyDescent="0.3">
      <c r="A63" s="40" t="s">
        <v>247</v>
      </c>
      <c r="B63" s="40" t="s">
        <v>223</v>
      </c>
      <c r="C63" s="32"/>
      <c r="D63" s="40" t="s">
        <v>160</v>
      </c>
      <c r="E63" s="40">
        <f t="shared" si="3"/>
        <v>4</v>
      </c>
      <c r="F63" s="40">
        <v>61</v>
      </c>
      <c r="G63" s="40" t="str">
        <f t="shared" si="4"/>
        <v>$BI$4</v>
      </c>
      <c r="H63" s="40" t="str">
        <f t="shared" si="5"/>
        <v>'Projects'!$BI$4</v>
      </c>
      <c r="I63" s="40" t="str">
        <f t="array" aca="1" ref="I63" ca="1">INDIRECT(H63)</f>
        <v>Unit_7</v>
      </c>
      <c r="J63" s="32"/>
      <c r="K63" s="3"/>
      <c r="L63" s="3"/>
    </row>
    <row r="64" spans="1:12" x14ac:dyDescent="0.3">
      <c r="A64" s="40" t="s">
        <v>247</v>
      </c>
      <c r="B64" s="40" t="s">
        <v>224</v>
      </c>
      <c r="C64" s="32"/>
      <c r="D64" s="40" t="s">
        <v>160</v>
      </c>
      <c r="E64" s="40">
        <f t="shared" si="3"/>
        <v>4</v>
      </c>
      <c r="F64" s="40">
        <v>62</v>
      </c>
      <c r="G64" s="40" t="str">
        <f t="shared" si="4"/>
        <v>$BJ$4</v>
      </c>
      <c r="H64" s="40" t="str">
        <f t="shared" si="5"/>
        <v>'Projects'!$BJ$4</v>
      </c>
      <c r="I64" s="40" t="str">
        <f t="array" aca="1" ref="I64" ca="1">INDIRECT(H64)</f>
        <v>Unit_8</v>
      </c>
      <c r="J64" s="32"/>
      <c r="K64" s="3"/>
      <c r="L64" s="3"/>
    </row>
    <row r="65" spans="1:12" x14ac:dyDescent="0.3">
      <c r="A65" s="40" t="s">
        <v>247</v>
      </c>
      <c r="B65" s="40" t="s">
        <v>225</v>
      </c>
      <c r="C65" s="32"/>
      <c r="D65" s="40" t="s">
        <v>160</v>
      </c>
      <c r="E65" s="40">
        <f t="shared" si="3"/>
        <v>4</v>
      </c>
      <c r="F65" s="40">
        <v>63</v>
      </c>
      <c r="G65" s="40" t="str">
        <f t="shared" si="4"/>
        <v>$BK$4</v>
      </c>
      <c r="H65" s="40" t="str">
        <f t="shared" si="5"/>
        <v>'Projects'!$BK$4</v>
      </c>
      <c r="I65" s="40" t="str">
        <f t="array" aca="1" ref="I65" ca="1">INDIRECT(H65)</f>
        <v>Unit_9</v>
      </c>
      <c r="J65" s="32"/>
      <c r="K65" s="3"/>
      <c r="L65" s="3"/>
    </row>
    <row r="66" spans="1:12" x14ac:dyDescent="0.3">
      <c r="A66" s="40" t="s">
        <v>247</v>
      </c>
      <c r="B66" s="40" t="s">
        <v>226</v>
      </c>
      <c r="C66" s="32"/>
      <c r="D66" s="40" t="s">
        <v>160</v>
      </c>
      <c r="E66" s="40">
        <f t="shared" si="3"/>
        <v>4</v>
      </c>
      <c r="F66" s="40">
        <v>64</v>
      </c>
      <c r="G66" s="40" t="str">
        <f t="shared" si="4"/>
        <v>$BL$4</v>
      </c>
      <c r="H66" s="40" t="str">
        <f t="shared" si="5"/>
        <v>'Projects'!$BL$4</v>
      </c>
      <c r="I66" s="40" t="str">
        <f t="array" aca="1" ref="I66" ca="1">INDIRECT(H66)</f>
        <v>Unit_10</v>
      </c>
      <c r="J66" s="32"/>
      <c r="K66" s="3"/>
      <c r="L66" s="3"/>
    </row>
    <row r="67" spans="1:12" x14ac:dyDescent="0.3">
      <c r="A67" s="40" t="s">
        <v>247</v>
      </c>
      <c r="B67" s="40" t="s">
        <v>227</v>
      </c>
      <c r="C67" s="32"/>
      <c r="D67" s="40" t="s">
        <v>160</v>
      </c>
      <c r="E67" s="40">
        <f t="shared" si="3"/>
        <v>4</v>
      </c>
      <c r="F67" s="40">
        <v>65</v>
      </c>
      <c r="G67" s="40" t="str">
        <f t="shared" si="4"/>
        <v>$BM$4</v>
      </c>
      <c r="H67" s="40" t="str">
        <f t="shared" si="5"/>
        <v>'Projects'!$BM$4</v>
      </c>
      <c r="I67" s="40" t="str">
        <f t="array" aca="1" ref="I67" ca="1">INDIRECT(H67)</f>
        <v>Year</v>
      </c>
      <c r="J67" s="32"/>
      <c r="K67" s="3"/>
      <c r="L67" s="3"/>
    </row>
    <row r="68" spans="1:12" x14ac:dyDescent="0.3">
      <c r="A68" s="40" t="s">
        <v>247</v>
      </c>
      <c r="B68" s="40" t="s">
        <v>228</v>
      </c>
      <c r="C68" s="32"/>
      <c r="D68" s="40" t="s">
        <v>160</v>
      </c>
      <c r="E68" s="40">
        <f t="shared" si="3"/>
        <v>4</v>
      </c>
      <c r="F68" s="40">
        <v>66</v>
      </c>
      <c r="G68" s="40" t="str">
        <f t="shared" si="4"/>
        <v>$BN$4</v>
      </c>
      <c r="H68" s="40" t="str">
        <f t="shared" si="5"/>
        <v>'Projects'!$BN$4</v>
      </c>
      <c r="I68" s="40" t="str">
        <f t="array" aca="1" ref="I68" ca="1">INDIRECT(H68)</f>
        <v>Year2</v>
      </c>
      <c r="J68" s="32"/>
      <c r="K68" s="3"/>
      <c r="L68" s="3"/>
    </row>
    <row r="69" spans="1:12" x14ac:dyDescent="0.3">
      <c r="A69" s="40" t="s">
        <v>247</v>
      </c>
      <c r="B69" s="40" t="s">
        <v>229</v>
      </c>
      <c r="C69" s="32"/>
      <c r="D69" s="40" t="s">
        <v>160</v>
      </c>
      <c r="E69" s="40">
        <f t="shared" si="3"/>
        <v>4</v>
      </c>
      <c r="F69" s="40">
        <v>67</v>
      </c>
      <c r="G69" s="40" t="str">
        <f t="shared" si="4"/>
        <v>$BO$4</v>
      </c>
      <c r="H69" s="40" t="str">
        <f t="shared" si="5"/>
        <v>'Projects'!$BO$4</v>
      </c>
      <c r="I69" s="40" t="str">
        <f t="array" aca="1" ref="I69" ca="1">INDIRECT(H69)</f>
        <v>Year3</v>
      </c>
      <c r="J69" s="32"/>
      <c r="K69" s="3"/>
      <c r="L69" s="3"/>
    </row>
    <row r="70" spans="1:12" x14ac:dyDescent="0.3">
      <c r="A70" s="40" t="s">
        <v>247</v>
      </c>
      <c r="B70" s="40" t="s">
        <v>230</v>
      </c>
      <c r="C70" s="32"/>
      <c r="D70" s="40" t="s">
        <v>160</v>
      </c>
      <c r="E70" s="40">
        <f t="shared" si="3"/>
        <v>4</v>
      </c>
      <c r="F70" s="40">
        <v>68</v>
      </c>
      <c r="G70" s="40" t="str">
        <f t="shared" si="4"/>
        <v>$BP$4</v>
      </c>
      <c r="H70" s="40" t="str">
        <f t="shared" si="5"/>
        <v>'Projects'!$BP$4</v>
      </c>
      <c r="I70" s="40" t="str">
        <f t="array" aca="1" ref="I70" ca="1">INDIRECT(H70)</f>
        <v>Year4</v>
      </c>
      <c r="J70" s="32"/>
      <c r="K70" s="3"/>
      <c r="L70" s="3"/>
    </row>
    <row r="71" spans="1:12" x14ac:dyDescent="0.3">
      <c r="A71" s="40" t="s">
        <v>247</v>
      </c>
      <c r="B71" s="40" t="s">
        <v>231</v>
      </c>
      <c r="C71" s="32"/>
      <c r="D71" s="40" t="s">
        <v>160</v>
      </c>
      <c r="E71" s="40">
        <f t="shared" si="3"/>
        <v>4</v>
      </c>
      <c r="F71" s="40">
        <v>69</v>
      </c>
      <c r="G71" s="40" t="str">
        <f t="shared" si="4"/>
        <v>$BQ$4</v>
      </c>
      <c r="H71" s="40" t="str">
        <f t="shared" si="5"/>
        <v>'Projects'!$BQ$4</v>
      </c>
      <c r="I71" s="40" t="str">
        <f t="array" aca="1" ref="I71" ca="1">INDIRECT(H71)</f>
        <v>Year5</v>
      </c>
      <c r="J71" s="32"/>
      <c r="K71" s="3"/>
      <c r="L71" s="3"/>
    </row>
    <row r="72" spans="1:12" x14ac:dyDescent="0.3">
      <c r="A72" s="40" t="s">
        <v>247</v>
      </c>
      <c r="B72" s="40" t="s">
        <v>232</v>
      </c>
      <c r="C72" s="32"/>
      <c r="D72" s="40" t="s">
        <v>160</v>
      </c>
      <c r="E72" s="40">
        <f t="shared" si="3"/>
        <v>4</v>
      </c>
      <c r="F72" s="40">
        <v>70</v>
      </c>
      <c r="G72" s="40" t="str">
        <f t="shared" si="4"/>
        <v>$BR$4</v>
      </c>
      <c r="H72" s="40" t="str">
        <f t="shared" si="5"/>
        <v>'Projects'!$BR$4</v>
      </c>
      <c r="I72" s="40" t="str">
        <f t="array" aca="1" ref="I72" ca="1">INDIRECT(H72)</f>
        <v>Year6</v>
      </c>
      <c r="J72" s="32"/>
      <c r="K72" s="3"/>
      <c r="L72" s="3"/>
    </row>
    <row r="73" spans="1:12" x14ac:dyDescent="0.3">
      <c r="A73" s="40" t="s">
        <v>247</v>
      </c>
      <c r="B73" s="40" t="s">
        <v>233</v>
      </c>
      <c r="C73" s="32"/>
      <c r="D73" s="40" t="s">
        <v>160</v>
      </c>
      <c r="E73" s="40">
        <f t="shared" si="3"/>
        <v>4</v>
      </c>
      <c r="F73" s="40">
        <v>71</v>
      </c>
      <c r="G73" s="40" t="str">
        <f t="shared" si="4"/>
        <v>$BS$4</v>
      </c>
      <c r="H73" s="40" t="str">
        <f t="shared" si="5"/>
        <v>'Projects'!$BS$4</v>
      </c>
      <c r="I73" s="40" t="str">
        <f t="array" aca="1" ref="I73" ca="1">INDIRECT(H73)</f>
        <v>Year7</v>
      </c>
      <c r="J73" s="32"/>
      <c r="K73" s="3"/>
      <c r="L73" s="3"/>
    </row>
    <row r="74" spans="1:12" x14ac:dyDescent="0.3">
      <c r="A74" s="40" t="s">
        <v>247</v>
      </c>
      <c r="B74" s="40" t="s">
        <v>234</v>
      </c>
      <c r="C74" s="32"/>
      <c r="D74" s="40" t="s">
        <v>160</v>
      </c>
      <c r="E74" s="40">
        <f t="shared" si="3"/>
        <v>4</v>
      </c>
      <c r="F74" s="40">
        <v>72</v>
      </c>
      <c r="G74" s="40" t="str">
        <f t="shared" si="4"/>
        <v>$BT$4</v>
      </c>
      <c r="H74" s="40" t="str">
        <f t="shared" si="5"/>
        <v>'Projects'!$BT$4</v>
      </c>
      <c r="I74" s="40" t="str">
        <f t="array" aca="1" ref="I74" ca="1">INDIRECT(H74)</f>
        <v>Year8</v>
      </c>
      <c r="J74" s="32"/>
      <c r="K74" s="3"/>
      <c r="L74" s="3"/>
    </row>
    <row r="75" spans="1:12" x14ac:dyDescent="0.3">
      <c r="A75" s="40" t="s">
        <v>247</v>
      </c>
      <c r="B75" s="40" t="s">
        <v>235</v>
      </c>
      <c r="C75" s="32"/>
      <c r="D75" s="40" t="s">
        <v>160</v>
      </c>
      <c r="E75" s="40">
        <f t="shared" si="3"/>
        <v>4</v>
      </c>
      <c r="F75" s="40">
        <v>73</v>
      </c>
      <c r="G75" s="40" t="str">
        <f t="shared" si="4"/>
        <v>$BU$4</v>
      </c>
      <c r="H75" s="40" t="str">
        <f t="shared" si="5"/>
        <v>'Projects'!$BU$4</v>
      </c>
      <c r="I75" s="40" t="str">
        <f t="array" aca="1" ref="I75" ca="1">INDIRECT(H75)</f>
        <v>Year9</v>
      </c>
      <c r="J75" s="32"/>
      <c r="K75" s="3"/>
      <c r="L75" s="3"/>
    </row>
    <row r="76" spans="1:12" x14ac:dyDescent="0.3">
      <c r="A76" s="40" t="s">
        <v>247</v>
      </c>
      <c r="B76" s="40" t="s">
        <v>236</v>
      </c>
      <c r="C76" s="32"/>
      <c r="D76" s="40" t="s">
        <v>160</v>
      </c>
      <c r="E76" s="40">
        <f t="shared" si="3"/>
        <v>4</v>
      </c>
      <c r="F76" s="40">
        <v>74</v>
      </c>
      <c r="G76" s="40" t="str">
        <f t="shared" si="4"/>
        <v>$BV$4</v>
      </c>
      <c r="H76" s="40" t="str">
        <f t="shared" si="5"/>
        <v>'Projects'!$BV$4</v>
      </c>
      <c r="I76" s="40" t="str">
        <f t="array" aca="1" ref="I76" ca="1">INDIRECT(H76)</f>
        <v>Year10</v>
      </c>
      <c r="J76" s="32"/>
      <c r="K76" s="3"/>
      <c r="L76" s="3"/>
    </row>
    <row r="77" spans="1:12" x14ac:dyDescent="0.3">
      <c r="A77" s="40" t="s">
        <v>247</v>
      </c>
      <c r="B77" s="40" t="s">
        <v>237</v>
      </c>
      <c r="C77" s="32"/>
      <c r="D77" s="40" t="s">
        <v>160</v>
      </c>
      <c r="E77" s="40">
        <f t="shared" si="3"/>
        <v>4</v>
      </c>
      <c r="F77" s="40">
        <v>75</v>
      </c>
      <c r="G77" s="40" t="str">
        <f t="shared" si="4"/>
        <v>$BW$4</v>
      </c>
      <c r="H77" s="40" t="str">
        <f t="shared" si="5"/>
        <v>'Projects'!$BW$4</v>
      </c>
      <c r="I77" s="40" t="str">
        <f t="array" aca="1" ref="I77" ca="1">INDIRECT(H77)</f>
        <v>Expenditure in (ZAR)</v>
      </c>
      <c r="J77" s="32"/>
      <c r="K77" s="3"/>
      <c r="L77" s="3"/>
    </row>
    <row r="78" spans="1:12" x14ac:dyDescent="0.3">
      <c r="A78" s="40" t="s">
        <v>247</v>
      </c>
      <c r="B78" s="40" t="s">
        <v>238</v>
      </c>
      <c r="C78" s="32"/>
      <c r="D78" s="40" t="s">
        <v>160</v>
      </c>
      <c r="E78" s="40">
        <f t="shared" si="3"/>
        <v>4</v>
      </c>
      <c r="F78" s="40">
        <v>76</v>
      </c>
      <c r="G78" s="40" t="str">
        <f t="shared" si="4"/>
        <v>$BX$4</v>
      </c>
      <c r="H78" s="40" t="str">
        <f t="shared" si="5"/>
        <v>'Projects'!$BX$4</v>
      </c>
      <c r="I78" s="40" t="str">
        <f t="array" aca="1" ref="I78" ca="1">INDIRECT(H78)</f>
        <v>Expenditure in (ZAR)11</v>
      </c>
      <c r="J78" s="32"/>
      <c r="K78" s="3"/>
      <c r="L78" s="3"/>
    </row>
    <row r="79" spans="1:12" x14ac:dyDescent="0.3">
      <c r="A79" s="40" t="s">
        <v>247</v>
      </c>
      <c r="B79" s="40" t="s">
        <v>239</v>
      </c>
      <c r="C79" s="32"/>
      <c r="D79" s="40" t="s">
        <v>160</v>
      </c>
      <c r="E79" s="40">
        <f t="shared" si="3"/>
        <v>4</v>
      </c>
      <c r="F79" s="40">
        <v>77</v>
      </c>
      <c r="G79" s="40" t="str">
        <f t="shared" si="4"/>
        <v>$BY$4</v>
      </c>
      <c r="H79" s="40" t="str">
        <f t="shared" si="5"/>
        <v>'Projects'!$BY$4</v>
      </c>
      <c r="I79" s="40" t="str">
        <f t="array" aca="1" ref="I79" ca="1">INDIRECT(H79)</f>
        <v>Expenditure in (ZAR)12</v>
      </c>
      <c r="J79" s="32"/>
      <c r="K79" s="3"/>
      <c r="L79" s="3"/>
    </row>
    <row r="80" spans="1:12" x14ac:dyDescent="0.3">
      <c r="A80" s="40" t="s">
        <v>247</v>
      </c>
      <c r="B80" s="40" t="s">
        <v>240</v>
      </c>
      <c r="C80" s="32"/>
      <c r="D80" s="40" t="s">
        <v>160</v>
      </c>
      <c r="E80" s="40">
        <f t="shared" si="3"/>
        <v>4</v>
      </c>
      <c r="F80" s="40">
        <v>78</v>
      </c>
      <c r="G80" s="40" t="str">
        <f t="shared" si="4"/>
        <v>$BZ$4</v>
      </c>
      <c r="H80" s="40" t="str">
        <f t="shared" si="5"/>
        <v>'Projects'!$BZ$4</v>
      </c>
      <c r="I80" s="40" t="str">
        <f t="array" aca="1" ref="I80" ca="1">INDIRECT(H80)</f>
        <v>Expenditure in (ZAR)13</v>
      </c>
      <c r="J80" s="32"/>
      <c r="K80" s="3"/>
      <c r="L80" s="3"/>
    </row>
    <row r="81" spans="1:12" x14ac:dyDescent="0.3">
      <c r="A81" s="40" t="s">
        <v>247</v>
      </c>
      <c r="B81" s="40" t="s">
        <v>241</v>
      </c>
      <c r="C81" s="32"/>
      <c r="D81" s="40" t="s">
        <v>160</v>
      </c>
      <c r="E81" s="40">
        <f t="shared" si="3"/>
        <v>4</v>
      </c>
      <c r="F81" s="40">
        <v>79</v>
      </c>
      <c r="G81" s="40" t="str">
        <f t="shared" si="4"/>
        <v>$CA$4</v>
      </c>
      <c r="H81" s="40" t="str">
        <f t="shared" si="5"/>
        <v>'Projects'!$CA$4</v>
      </c>
      <c r="I81" s="40" t="str">
        <f t="array" aca="1" ref="I81" ca="1">INDIRECT(H81)</f>
        <v>Expenditure in (ZAR)14</v>
      </c>
      <c r="J81" s="32"/>
      <c r="K81" s="3"/>
      <c r="L81" s="3"/>
    </row>
    <row r="82" spans="1:12" x14ac:dyDescent="0.3">
      <c r="A82" s="40" t="s">
        <v>247</v>
      </c>
      <c r="B82" s="40" t="s">
        <v>242</v>
      </c>
      <c r="C82" s="32"/>
      <c r="D82" s="40" t="s">
        <v>160</v>
      </c>
      <c r="E82" s="40">
        <f t="shared" si="3"/>
        <v>4</v>
      </c>
      <c r="F82" s="40">
        <v>80</v>
      </c>
      <c r="G82" s="40" t="str">
        <f t="shared" si="4"/>
        <v>$CB$4</v>
      </c>
      <c r="H82" s="40" t="str">
        <f t="shared" si="5"/>
        <v>'Projects'!$CB$4</v>
      </c>
      <c r="I82" s="40" t="str">
        <f t="array" aca="1" ref="I82" ca="1">INDIRECT(H82)</f>
        <v>Expenditure in (ZAR)15</v>
      </c>
      <c r="J82" s="32"/>
      <c r="K82" s="3"/>
      <c r="L82" s="3"/>
    </row>
    <row r="83" spans="1:12" x14ac:dyDescent="0.3">
      <c r="A83" s="40" t="s">
        <v>247</v>
      </c>
      <c r="B83" s="40" t="s">
        <v>243</v>
      </c>
      <c r="C83" s="32"/>
      <c r="D83" s="40" t="s">
        <v>160</v>
      </c>
      <c r="E83" s="40">
        <f t="shared" si="3"/>
        <v>4</v>
      </c>
      <c r="F83" s="40">
        <v>81</v>
      </c>
      <c r="G83" s="40" t="str">
        <f t="shared" si="4"/>
        <v>$CC$4</v>
      </c>
      <c r="H83" s="40" t="str">
        <f t="shared" si="5"/>
        <v>'Projects'!$CC$4</v>
      </c>
      <c r="I83" s="40" t="str">
        <f t="array" aca="1" ref="I83" ca="1">INDIRECT(H83)</f>
        <v>Expenditure in (ZAR)16</v>
      </c>
      <c r="J83" s="32"/>
      <c r="K83" s="3"/>
      <c r="L83" s="3"/>
    </row>
    <row r="84" spans="1:12" x14ac:dyDescent="0.3">
      <c r="A84" s="40" t="s">
        <v>247</v>
      </c>
      <c r="B84" s="40" t="s">
        <v>244</v>
      </c>
      <c r="C84" s="32"/>
      <c r="D84" s="40" t="s">
        <v>160</v>
      </c>
      <c r="E84" s="40">
        <f t="shared" si="3"/>
        <v>4</v>
      </c>
      <c r="F84" s="40">
        <v>82</v>
      </c>
      <c r="G84" s="40" t="str">
        <f t="shared" si="4"/>
        <v>$CD$4</v>
      </c>
      <c r="H84" s="40" t="str">
        <f t="shared" si="5"/>
        <v>'Projects'!$CD$4</v>
      </c>
      <c r="I84" s="40" t="str">
        <f t="array" aca="1" ref="I84" ca="1">INDIRECT(H84)</f>
        <v>Expenditure in (ZAR)17</v>
      </c>
      <c r="J84" s="32"/>
      <c r="K84" s="3"/>
      <c r="L84" s="3"/>
    </row>
    <row r="85" spans="1:12" x14ac:dyDescent="0.3">
      <c r="A85" s="40" t="s">
        <v>247</v>
      </c>
      <c r="B85" s="40" t="s">
        <v>245</v>
      </c>
      <c r="C85" s="32"/>
      <c r="D85" s="40" t="s">
        <v>160</v>
      </c>
      <c r="E85" s="40">
        <f t="shared" si="3"/>
        <v>4</v>
      </c>
      <c r="F85" s="40">
        <v>83</v>
      </c>
      <c r="G85" s="40" t="str">
        <f t="shared" si="4"/>
        <v>$CE$4</v>
      </c>
      <c r="H85" s="40" t="str">
        <f t="shared" si="5"/>
        <v>'Projects'!$CE$4</v>
      </c>
      <c r="I85" s="40" t="str">
        <f t="array" aca="1" ref="I85" ca="1">INDIRECT(H85)</f>
        <v>Expenditure in (ZAR)18</v>
      </c>
      <c r="J85" s="32"/>
      <c r="K85" s="3"/>
      <c r="L85" s="3"/>
    </row>
    <row r="86" spans="1:12" x14ac:dyDescent="0.3">
      <c r="A86" s="40" t="s">
        <v>247</v>
      </c>
      <c r="B86" s="40" t="s">
        <v>246</v>
      </c>
      <c r="C86" s="32"/>
      <c r="D86" s="40" t="s">
        <v>160</v>
      </c>
      <c r="E86" s="40">
        <f t="shared" si="3"/>
        <v>4</v>
      </c>
      <c r="F86" s="40">
        <v>84</v>
      </c>
      <c r="G86" s="40" t="str">
        <f t="shared" si="4"/>
        <v>$CF$4</v>
      </c>
      <c r="H86" s="40" t="str">
        <f t="shared" si="5"/>
        <v>'Projects'!$CF$4</v>
      </c>
      <c r="I86" s="40" t="str">
        <f t="array" aca="1" ref="I86" ca="1">INDIRECT(H86)</f>
        <v>Expenditure in (ZAR)19</v>
      </c>
      <c r="J86" s="32"/>
      <c r="K86" s="3"/>
      <c r="L86" s="3"/>
    </row>
    <row r="87" spans="1:12" x14ac:dyDescent="0.3">
      <c r="A87" s="40" t="s">
        <v>247</v>
      </c>
      <c r="B87" s="40" t="s">
        <v>177</v>
      </c>
      <c r="C87" s="32"/>
      <c r="D87" s="40" t="s">
        <v>160</v>
      </c>
      <c r="E87" s="40">
        <f t="shared" si="3"/>
        <v>4</v>
      </c>
      <c r="F87" s="40">
        <v>85</v>
      </c>
      <c r="G87" s="40" t="str">
        <f t="shared" si="4"/>
        <v>$CG$4</v>
      </c>
      <c r="H87" s="40" t="str">
        <f t="shared" si="5"/>
        <v>'Projects'!$CG$4</v>
      </c>
      <c r="I87" s="40" t="str">
        <f t="array" aca="1" ref="I87" ca="1">INDIRECT(H87)</f>
        <v>Environmental co-benefit</v>
      </c>
      <c r="J87" s="32"/>
      <c r="K87" s="3"/>
      <c r="L87" s="3"/>
    </row>
    <row r="88" spans="1:12" x14ac:dyDescent="0.3">
      <c r="A88" s="40" t="s">
        <v>247</v>
      </c>
      <c r="B88" s="40" t="s">
        <v>178</v>
      </c>
      <c r="C88" s="32"/>
      <c r="D88" s="40" t="s">
        <v>160</v>
      </c>
      <c r="E88" s="40">
        <f t="shared" si="3"/>
        <v>4</v>
      </c>
      <c r="F88" s="40">
        <v>86</v>
      </c>
      <c r="G88" s="40" t="str">
        <f t="shared" si="4"/>
        <v>$CH$4</v>
      </c>
      <c r="H88" s="40" t="str">
        <f t="shared" si="5"/>
        <v>'Projects'!$CH$4</v>
      </c>
      <c r="I88" s="40" t="str">
        <f t="array" aca="1" ref="I88" ca="1">INDIRECT(H88)</f>
        <v>Environmental co-benefit description</v>
      </c>
      <c r="J88" s="32"/>
      <c r="K88" s="3"/>
      <c r="L88" s="3"/>
    </row>
    <row r="89" spans="1:12" x14ac:dyDescent="0.3">
      <c r="A89" s="40" t="s">
        <v>247</v>
      </c>
      <c r="B89" s="40" t="s">
        <v>179</v>
      </c>
      <c r="C89" s="32"/>
      <c r="D89" s="40" t="s">
        <v>160</v>
      </c>
      <c r="E89" s="40">
        <f t="shared" si="3"/>
        <v>4</v>
      </c>
      <c r="F89" s="40">
        <v>87</v>
      </c>
      <c r="G89" s="40" t="str">
        <f t="shared" si="4"/>
        <v>$CI$4</v>
      </c>
      <c r="H89" s="40" t="str">
        <f t="shared" si="5"/>
        <v>'Projects'!$CI$4</v>
      </c>
      <c r="I89" s="40" t="str">
        <f t="array" aca="1" ref="I89" ca="1">INDIRECT(H89)</f>
        <v>Social co-benefit</v>
      </c>
      <c r="J89" s="32"/>
      <c r="K89" s="3"/>
      <c r="L89" s="3"/>
    </row>
    <row r="90" spans="1:12" x14ac:dyDescent="0.3">
      <c r="A90" s="40" t="s">
        <v>247</v>
      </c>
      <c r="B90" s="40" t="s">
        <v>180</v>
      </c>
      <c r="C90" s="32"/>
      <c r="D90" s="40" t="s">
        <v>160</v>
      </c>
      <c r="E90" s="40">
        <f t="shared" si="3"/>
        <v>4</v>
      </c>
      <c r="F90" s="40">
        <v>88</v>
      </c>
      <c r="G90" s="40" t="str">
        <f t="shared" si="4"/>
        <v>$CJ$4</v>
      </c>
      <c r="H90" s="40" t="str">
        <f t="shared" si="5"/>
        <v>'Projects'!$CJ$4</v>
      </c>
      <c r="I90" s="40" t="str">
        <f t="array" aca="1" ref="I90" ca="1">INDIRECT(H90)</f>
        <v>Social co-benefit description</v>
      </c>
      <c r="J90" s="32"/>
      <c r="K90" s="3"/>
      <c r="L90" s="3"/>
    </row>
    <row r="91" spans="1:12" x14ac:dyDescent="0.3">
      <c r="A91" s="40" t="s">
        <v>247</v>
      </c>
      <c r="B91" s="40" t="s">
        <v>181</v>
      </c>
      <c r="C91" s="32"/>
      <c r="D91" s="40" t="s">
        <v>160</v>
      </c>
      <c r="E91" s="40">
        <f t="shared" ref="E91:E98" si="6">$L$3</f>
        <v>4</v>
      </c>
      <c r="F91" s="40">
        <v>89</v>
      </c>
      <c r="G91" s="40" t="str">
        <f t="shared" si="4"/>
        <v>$CK$4</v>
      </c>
      <c r="H91" s="40" t="str">
        <f t="shared" si="5"/>
        <v>'Projects'!$CK$4</v>
      </c>
      <c r="I91" s="40" t="str">
        <f t="array" aca="1" ref="I91" ca="1">INDIRECT(H91)</f>
        <v>Economic co-benefit</v>
      </c>
      <c r="J91" s="32"/>
      <c r="K91" s="3"/>
      <c r="L91" s="3"/>
    </row>
    <row r="92" spans="1:12" x14ac:dyDescent="0.3">
      <c r="A92" s="40" t="s">
        <v>247</v>
      </c>
      <c r="B92" s="40" t="s">
        <v>182</v>
      </c>
      <c r="C92" s="32"/>
      <c r="D92" s="40" t="s">
        <v>160</v>
      </c>
      <c r="E92" s="40">
        <f t="shared" si="6"/>
        <v>4</v>
      </c>
      <c r="F92" s="40">
        <v>90</v>
      </c>
      <c r="G92" s="40" t="str">
        <f t="shared" si="4"/>
        <v>$CL$4</v>
      </c>
      <c r="H92" s="40" t="str">
        <f t="shared" si="5"/>
        <v>'Projects'!$CL$4</v>
      </c>
      <c r="I92" s="40" t="str">
        <f t="array" aca="1" ref="I92" ca="1">INDIRECT(H92)</f>
        <v>Select co-benefit</v>
      </c>
      <c r="J92" s="32"/>
      <c r="K92" s="3"/>
      <c r="L92" s="3"/>
    </row>
    <row r="93" spans="1:12" x14ac:dyDescent="0.3">
      <c r="A93" s="40" t="s">
        <v>247</v>
      </c>
      <c r="B93" s="40" t="s">
        <v>183</v>
      </c>
      <c r="C93" s="32"/>
      <c r="D93" s="40" t="s">
        <v>160</v>
      </c>
      <c r="E93" s="40">
        <f t="shared" si="6"/>
        <v>4</v>
      </c>
      <c r="F93" s="40">
        <v>91</v>
      </c>
      <c r="G93" s="40" t="str">
        <f t="shared" si="4"/>
        <v>$CM$4</v>
      </c>
      <c r="H93" s="40" t="str">
        <f t="shared" si="5"/>
        <v>'Projects'!$CM$4</v>
      </c>
      <c r="I93" s="40" t="str">
        <f t="array" aca="1" ref="I93" ca="1">INDIRECT(H93)</f>
        <v>Carbon credit</v>
      </c>
      <c r="J93" s="32"/>
      <c r="K93" s="3"/>
      <c r="L93" s="3"/>
    </row>
    <row r="94" spans="1:12" x14ac:dyDescent="0.3">
      <c r="A94" s="40" t="s">
        <v>247</v>
      </c>
      <c r="B94" s="40" t="s">
        <v>184</v>
      </c>
      <c r="C94" s="32"/>
      <c r="D94" s="40" t="s">
        <v>160</v>
      </c>
      <c r="E94" s="40">
        <f t="shared" si="6"/>
        <v>4</v>
      </c>
      <c r="F94" s="40">
        <v>92</v>
      </c>
      <c r="G94" s="40" t="str">
        <f t="shared" si="4"/>
        <v>$CN$4</v>
      </c>
      <c r="H94" s="40" t="str">
        <f t="shared" si="5"/>
        <v>'Projects'!$CN$4</v>
      </c>
      <c r="I94" s="40" t="str">
        <f t="array" aca="1" ref="I94" ca="1">INDIRECT(H94)</f>
        <v>CDM or Voluntary</v>
      </c>
      <c r="J94" s="32"/>
      <c r="K94" s="3"/>
      <c r="L94" s="3"/>
    </row>
    <row r="95" spans="1:12" x14ac:dyDescent="0.3">
      <c r="A95" s="40" t="s">
        <v>247</v>
      </c>
      <c r="B95" s="40" t="s">
        <v>185</v>
      </c>
      <c r="C95" s="32"/>
      <c r="D95" s="40" t="s">
        <v>160</v>
      </c>
      <c r="E95" s="40">
        <f t="shared" si="6"/>
        <v>4</v>
      </c>
      <c r="F95" s="40">
        <v>93</v>
      </c>
      <c r="G95" s="40" t="str">
        <f t="shared" si="4"/>
        <v>$CO$4</v>
      </c>
      <c r="H95" s="40" t="str">
        <f t="shared" si="5"/>
        <v>'Projects'!$CO$4</v>
      </c>
      <c r="I95" s="40" t="str">
        <f t="array" aca="1" ref="I95" ca="1">INDIRECT(H95)</f>
        <v>CDM Executive Board Status</v>
      </c>
      <c r="J95" s="32"/>
      <c r="K95" s="3"/>
      <c r="L95" s="3"/>
    </row>
    <row r="96" spans="1:12" x14ac:dyDescent="0.3">
      <c r="A96" s="40" t="s">
        <v>247</v>
      </c>
      <c r="B96" s="40" t="s">
        <v>186</v>
      </c>
      <c r="C96" s="32"/>
      <c r="D96" s="40" t="s">
        <v>160</v>
      </c>
      <c r="E96" s="40">
        <f t="shared" si="6"/>
        <v>4</v>
      </c>
      <c r="F96" s="40">
        <v>94</v>
      </c>
      <c r="G96" s="40" t="str">
        <f t="shared" si="4"/>
        <v>$CP$4</v>
      </c>
      <c r="H96" s="40" t="str">
        <f t="shared" si="5"/>
        <v>'Projects'!$CP$4</v>
      </c>
      <c r="I96" s="40" t="str">
        <f t="array" aca="1" ref="I96" ca="1">INDIRECT(H96)</f>
        <v>CDM methodology</v>
      </c>
      <c r="J96" s="32"/>
      <c r="K96" s="3"/>
      <c r="L96" s="3"/>
    </row>
    <row r="97" spans="1:15" x14ac:dyDescent="0.3">
      <c r="A97" s="40" t="s">
        <v>247</v>
      </c>
      <c r="B97" s="40" t="s">
        <v>187</v>
      </c>
      <c r="C97" s="32"/>
      <c r="D97" s="40" t="s">
        <v>160</v>
      </c>
      <c r="E97" s="40">
        <f t="shared" si="6"/>
        <v>4</v>
      </c>
      <c r="F97" s="40">
        <v>95</v>
      </c>
      <c r="G97" s="40" t="str">
        <f t="shared" si="4"/>
        <v>$CQ$4</v>
      </c>
      <c r="H97" s="40" t="str">
        <f t="shared" si="5"/>
        <v>'Projects'!$CQ$4</v>
      </c>
      <c r="I97" s="40" t="str">
        <f t="array" aca="1" ref="I97" ca="1">INDIRECT(H97)</f>
        <v>Organization Issuing Credits</v>
      </c>
      <c r="J97" s="32"/>
      <c r="K97" s="3"/>
      <c r="L97" s="3"/>
    </row>
    <row r="98" spans="1:15" x14ac:dyDescent="0.3">
      <c r="A98" s="40" t="s">
        <v>247</v>
      </c>
      <c r="B98" s="40" t="s">
        <v>188</v>
      </c>
      <c r="C98" s="32"/>
      <c r="D98" s="40" t="s">
        <v>160</v>
      </c>
      <c r="E98" s="40">
        <f t="shared" si="6"/>
        <v>4</v>
      </c>
      <c r="F98" s="40">
        <v>96</v>
      </c>
      <c r="G98" s="40" t="str">
        <f t="shared" si="4"/>
        <v>$CR$4</v>
      </c>
      <c r="H98" s="40" t="str">
        <f t="shared" si="5"/>
        <v>'Projects'!$CR$4</v>
      </c>
      <c r="I98" s="40" t="str">
        <f t="array" aca="1" ref="I98" ca="1">INDIRECT(H98)</f>
        <v>Voluntary methodology</v>
      </c>
      <c r="J98" s="32"/>
      <c r="K98" s="3"/>
      <c r="L98" s="3"/>
    </row>
    <row r="99" spans="1:15" x14ac:dyDescent="0.3">
      <c r="A99" s="41" t="s">
        <v>248</v>
      </c>
      <c r="B99" s="41" t="s">
        <v>189</v>
      </c>
      <c r="C99" s="32"/>
      <c r="D99" s="41" t="s">
        <v>160</v>
      </c>
      <c r="E99" s="41">
        <f t="shared" ref="E99:E111" si="7">$L$3</f>
        <v>4</v>
      </c>
      <c r="F99" s="41">
        <v>97</v>
      </c>
      <c r="G99" s="41" t="str">
        <f t="shared" ref="G99:G111" si="8">ADDRESS(E99,F99)</f>
        <v>$CS$4</v>
      </c>
      <c r="H99" s="41" t="str">
        <f t="shared" ref="H99:H111" si="9">_xlfn.CONCAT("'" &amp; D99 &amp; "'!" &amp; G99)</f>
        <v>'Projects'!$CS$4</v>
      </c>
      <c r="I99" s="41" t="str">
        <f t="array" aca="1" ref="I99" ca="1">INDIRECT(H99)</f>
        <v>Adaptation sector</v>
      </c>
      <c r="J99" s="32"/>
      <c r="K99" s="3"/>
      <c r="L99" s="3"/>
    </row>
    <row r="100" spans="1:15" x14ac:dyDescent="0.3">
      <c r="A100" s="41" t="s">
        <v>248</v>
      </c>
      <c r="B100" s="41" t="s">
        <v>190</v>
      </c>
      <c r="C100" s="32"/>
      <c r="D100" s="41" t="s">
        <v>160</v>
      </c>
      <c r="E100" s="41">
        <f t="shared" si="7"/>
        <v>4</v>
      </c>
      <c r="F100" s="41">
        <v>98</v>
      </c>
      <c r="G100" s="41" t="str">
        <f t="shared" si="8"/>
        <v>$CT$4</v>
      </c>
      <c r="H100" s="41" t="str">
        <f t="shared" si="9"/>
        <v>'Projects'!$CT$4</v>
      </c>
      <c r="I100" s="41" t="str">
        <f t="array" aca="1" ref="I100" ca="1">INDIRECT(H100)</f>
        <v>Other sector</v>
      </c>
      <c r="J100" s="32"/>
      <c r="K100" s="3"/>
      <c r="L100" s="3"/>
    </row>
    <row r="101" spans="1:15" x14ac:dyDescent="0.3">
      <c r="A101" s="41" t="s">
        <v>248</v>
      </c>
      <c r="B101" s="41" t="s">
        <v>172</v>
      </c>
      <c r="C101" s="32"/>
      <c r="D101" s="41" t="s">
        <v>160</v>
      </c>
      <c r="E101" s="41">
        <f t="shared" si="7"/>
        <v>4</v>
      </c>
      <c r="F101" s="41">
        <v>99</v>
      </c>
      <c r="G101" s="41" t="str">
        <f t="shared" si="8"/>
        <v>$CU$4</v>
      </c>
      <c r="H101" s="41" t="str">
        <f t="shared" si="9"/>
        <v>'Projects'!$CU$4</v>
      </c>
      <c r="I101" s="41" t="str">
        <f t="array" aca="1" ref="I101" ca="1">INDIRECT(H101)</f>
        <v>National policy20</v>
      </c>
      <c r="J101" s="32"/>
      <c r="K101" s="3"/>
      <c r="L101" s="3"/>
    </row>
    <row r="102" spans="1:15" x14ac:dyDescent="0.3">
      <c r="A102" s="41" t="s">
        <v>248</v>
      </c>
      <c r="B102" s="41" t="s">
        <v>173</v>
      </c>
      <c r="C102" s="32"/>
      <c r="D102" s="41" t="s">
        <v>160</v>
      </c>
      <c r="E102" s="41">
        <f t="shared" si="7"/>
        <v>4</v>
      </c>
      <c r="F102" s="41">
        <v>100</v>
      </c>
      <c r="G102" s="41" t="str">
        <f t="shared" si="8"/>
        <v>$CV$4</v>
      </c>
      <c r="H102" s="41" t="str">
        <f t="shared" si="9"/>
        <v>'Projects'!$CV$4</v>
      </c>
      <c r="I102" s="41" t="str">
        <f t="array" aca="1" ref="I102" ca="1">INDIRECT(H102)</f>
        <v>Other national policy</v>
      </c>
      <c r="J102" s="32"/>
      <c r="K102" s="3"/>
      <c r="L102" s="3"/>
    </row>
    <row r="103" spans="1:15" x14ac:dyDescent="0.3">
      <c r="A103" s="41" t="s">
        <v>248</v>
      </c>
      <c r="B103" s="41" t="s">
        <v>191</v>
      </c>
      <c r="C103" s="32"/>
      <c r="D103" s="41" t="s">
        <v>160</v>
      </c>
      <c r="E103" s="41">
        <f t="shared" si="7"/>
        <v>4</v>
      </c>
      <c r="F103" s="41">
        <v>101</v>
      </c>
      <c r="G103" s="41" t="str">
        <f t="shared" si="8"/>
        <v>$CW$4</v>
      </c>
      <c r="H103" s="41" t="str">
        <f t="shared" si="9"/>
        <v>'Projects'!$CW$4</v>
      </c>
      <c r="I103" s="41" t="str">
        <f t="array" aca="1" ref="I103" ca="1">INDIRECT(H103)</f>
        <v>Indicate the corresponding intervention, goal, or target</v>
      </c>
      <c r="J103" s="32"/>
      <c r="K103" s="3"/>
      <c r="L103" s="3"/>
    </row>
    <row r="104" spans="1:15" x14ac:dyDescent="0.3">
      <c r="A104" s="41" t="s">
        <v>248</v>
      </c>
      <c r="B104" s="41" t="s">
        <v>250</v>
      </c>
      <c r="C104" s="32"/>
      <c r="D104" s="41" t="s">
        <v>160</v>
      </c>
      <c r="E104" s="41">
        <f t="shared" si="7"/>
        <v>4</v>
      </c>
      <c r="F104" s="41">
        <v>102</v>
      </c>
      <c r="G104" s="41" t="str">
        <f t="shared" si="8"/>
        <v>$CX$4</v>
      </c>
      <c r="H104" s="41" t="str">
        <f t="shared" si="9"/>
        <v>'Projects'!$CX$4</v>
      </c>
      <c r="I104" s="41" t="str">
        <f t="array" aca="1" ref="I104" ca="1">INDIRECT(H104)</f>
        <v>Other corresponding</v>
      </c>
      <c r="J104" s="32"/>
      <c r="K104" s="3"/>
      <c r="L104" s="3"/>
    </row>
    <row r="105" spans="1:15" x14ac:dyDescent="0.3">
      <c r="A105" s="41" t="s">
        <v>248</v>
      </c>
      <c r="B105" s="41" t="s">
        <v>174</v>
      </c>
      <c r="C105" s="32"/>
      <c r="D105" s="41" t="s">
        <v>160</v>
      </c>
      <c r="E105" s="41">
        <f t="shared" si="7"/>
        <v>4</v>
      </c>
      <c r="F105" s="41">
        <v>103</v>
      </c>
      <c r="G105" s="41" t="str">
        <f t="shared" si="8"/>
        <v>$CY$4</v>
      </c>
      <c r="H105" s="41" t="str">
        <f t="shared" si="9"/>
        <v>'Projects'!$CY$4</v>
      </c>
      <c r="I105" s="41" t="str">
        <f t="array" aca="1" ref="I105" ca="1">INDIRECT(H105)</f>
        <v>Provincial or Municipal policy</v>
      </c>
      <c r="J105" s="32"/>
      <c r="K105" s="3"/>
      <c r="L105" s="3"/>
    </row>
    <row r="106" spans="1:15" x14ac:dyDescent="0.3">
      <c r="A106" s="41" t="s">
        <v>248</v>
      </c>
      <c r="B106" s="41" t="s">
        <v>175</v>
      </c>
      <c r="C106" s="32"/>
      <c r="D106" s="41" t="s">
        <v>160</v>
      </c>
      <c r="E106" s="41">
        <f t="shared" si="7"/>
        <v>4</v>
      </c>
      <c r="F106" s="41">
        <v>104</v>
      </c>
      <c r="G106" s="41" t="str">
        <f t="shared" si="8"/>
        <v>$CZ$4</v>
      </c>
      <c r="H106" s="41" t="str">
        <f t="shared" si="9"/>
        <v>'Projects'!$CZ$4</v>
      </c>
      <c r="I106" s="41" t="str">
        <f t="array" aca="1" ref="I106" ca="1">INDIRECT(H106)</f>
        <v>Other regional policy</v>
      </c>
      <c r="J106" s="32"/>
      <c r="K106" s="3"/>
      <c r="L106" s="3"/>
    </row>
    <row r="107" spans="1:15" x14ac:dyDescent="0.3">
      <c r="A107" s="41" t="s">
        <v>248</v>
      </c>
      <c r="B107" s="41" t="s">
        <v>192</v>
      </c>
      <c r="C107" s="32"/>
      <c r="D107" s="41" t="s">
        <v>160</v>
      </c>
      <c r="E107" s="41">
        <f t="shared" si="7"/>
        <v>4</v>
      </c>
      <c r="F107" s="41">
        <v>105</v>
      </c>
      <c r="G107" s="41" t="str">
        <f t="shared" si="8"/>
        <v>$DA$4</v>
      </c>
      <c r="H107" s="41" t="str">
        <f t="shared" si="9"/>
        <v>'Projects'!$DA$4</v>
      </c>
      <c r="I107" s="41" t="str">
        <f t="array" aca="1" ref="I107" ca="1">INDIRECT(H107)</f>
        <v>Hazard</v>
      </c>
      <c r="J107" s="32"/>
      <c r="K107" s="3"/>
      <c r="L107" s="3"/>
    </row>
    <row r="108" spans="1:15" x14ac:dyDescent="0.3">
      <c r="A108" s="41" t="s">
        <v>248</v>
      </c>
      <c r="B108" s="41" t="s">
        <v>193</v>
      </c>
      <c r="C108" s="32"/>
      <c r="D108" s="41" t="s">
        <v>160</v>
      </c>
      <c r="E108" s="41">
        <f t="shared" si="7"/>
        <v>4</v>
      </c>
      <c r="F108" s="41">
        <v>106</v>
      </c>
      <c r="G108" s="41" t="str">
        <f t="shared" si="8"/>
        <v>$DB$4</v>
      </c>
      <c r="H108" s="41" t="str">
        <f t="shared" si="9"/>
        <v>'Projects'!$DB$4</v>
      </c>
      <c r="I108" s="41" t="str">
        <f t="array" aca="1" ref="I108" ca="1">INDIRECT(H108)</f>
        <v>Other hazard</v>
      </c>
      <c r="J108" s="32"/>
      <c r="K108" s="3"/>
      <c r="L108" s="3"/>
    </row>
    <row r="109" spans="1:15" x14ac:dyDescent="0.3">
      <c r="A109" s="41" t="s">
        <v>248</v>
      </c>
      <c r="B109" s="41" t="s">
        <v>194</v>
      </c>
      <c r="C109" s="32"/>
      <c r="D109" s="41" t="s">
        <v>160</v>
      </c>
      <c r="E109" s="41">
        <f t="shared" si="7"/>
        <v>4</v>
      </c>
      <c r="F109" s="41">
        <v>107</v>
      </c>
      <c r="G109" s="41" t="str">
        <f t="shared" si="8"/>
        <v>$DC$4</v>
      </c>
      <c r="H109" s="41" t="str">
        <f t="shared" si="9"/>
        <v>'Projects'!$DC$4</v>
      </c>
      <c r="I109" s="41" t="str">
        <f t="array" aca="1" ref="I109" ca="1">INDIRECT(H109)</f>
        <v>Observed climate change impacts</v>
      </c>
      <c r="J109" s="32"/>
      <c r="K109" s="3"/>
      <c r="L109" s="3"/>
    </row>
    <row r="110" spans="1:15" x14ac:dyDescent="0.3">
      <c r="A110" s="41" t="s">
        <v>248</v>
      </c>
      <c r="B110" s="41" t="s">
        <v>195</v>
      </c>
      <c r="C110" s="32"/>
      <c r="D110" s="41" t="s">
        <v>160</v>
      </c>
      <c r="E110" s="41">
        <f t="shared" si="7"/>
        <v>4</v>
      </c>
      <c r="F110" s="41">
        <v>108</v>
      </c>
      <c r="G110" s="41" t="str">
        <f t="shared" si="8"/>
        <v>$DD$4</v>
      </c>
      <c r="H110" s="41" t="str">
        <f t="shared" si="9"/>
        <v>'Projects'!$DD$4</v>
      </c>
      <c r="I110" s="41" t="str">
        <f t="array" aca="1" ref="I110" ca="1">INDIRECT(H110)</f>
        <v>Addressed climate change impact</v>
      </c>
      <c r="J110" s="32"/>
      <c r="K110" s="3"/>
      <c r="L110" s="3"/>
    </row>
    <row r="111" spans="1:15" x14ac:dyDescent="0.3">
      <c r="A111" s="41" t="s">
        <v>248</v>
      </c>
      <c r="B111" s="41" t="s">
        <v>196</v>
      </c>
      <c r="C111" s="32"/>
      <c r="D111" s="41" t="s">
        <v>160</v>
      </c>
      <c r="E111" s="41">
        <f t="shared" si="7"/>
        <v>4</v>
      </c>
      <c r="F111" s="41">
        <v>109</v>
      </c>
      <c r="G111" s="41" t="str">
        <f t="shared" si="8"/>
        <v>$DE$4</v>
      </c>
      <c r="H111" s="41" t="str">
        <f t="shared" si="9"/>
        <v>'Projects'!$DE$4</v>
      </c>
      <c r="I111" s="41" t="str">
        <f t="array" aca="1" ref="I111" ca="1">INDIRECT(H111)</f>
        <v>Impact of response</v>
      </c>
      <c r="J111" s="32"/>
    </row>
    <row r="112" spans="1:15" s="34" customFormat="1" ht="16.5" customHeight="1" x14ac:dyDescent="0.3">
      <c r="A112" s="37"/>
      <c r="B112" s="37"/>
      <c r="C112" s="37"/>
      <c r="D112" s="37"/>
      <c r="E112" s="37"/>
      <c r="F112" s="37"/>
      <c r="G112" s="37"/>
      <c r="H112" s="37"/>
      <c r="I112" s="37"/>
      <c r="J112" s="37"/>
      <c r="K112" s="38"/>
      <c r="L112" s="38"/>
      <c r="M112" s="3"/>
      <c r="N112" s="3"/>
      <c r="O112" s="3"/>
    </row>
  </sheetData>
  <mergeCells count="2">
    <mergeCell ref="A1:B1"/>
    <mergeCell ref="D1:I1"/>
  </mergeCells>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Submissions</vt:lpstr>
      <vt:lpstr>Projects</vt:lpstr>
      <vt:lpstr>_Vocabularies</vt:lpstr>
      <vt:lpstr>_FieldDefinitions</vt:lpstr>
      <vt:lpstr>_FormLayout</vt:lpstr>
      <vt:lpstr>_VBA</vt:lpstr>
      <vt:lpstr>_Compile</vt:lpstr>
      <vt:lpstr>Data_Start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Amelia Hilgart</dc:creator>
  <cp:lastModifiedBy>Zach Smith</cp:lastModifiedBy>
  <dcterms:created xsi:type="dcterms:W3CDTF">2021-07-01T11:39:16Z</dcterms:created>
  <dcterms:modified xsi:type="dcterms:W3CDTF">2022-03-03T13:45:04Z</dcterms:modified>
</cp:coreProperties>
</file>